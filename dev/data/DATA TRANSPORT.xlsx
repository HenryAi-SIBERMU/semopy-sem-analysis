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7365034-D9EC-433D-AA6C-1155BE9D8262}" xr6:coauthVersionLast="47" xr6:coauthVersionMax="47" xr10:uidLastSave="{00000000-0000-0000-0000-000000000000}"/>
  <bookViews>
    <workbookView xWindow="-110" yWindow="-110" windowWidth="19420" windowHeight="11020" xr2:uid="{8BACF343-F6F7-4474-8F69-E756960EAD33}"/>
  </bookViews>
  <sheets>
    <sheet name="Sheet2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2" i="1"/>
  <c r="C66" i="1"/>
  <c r="G65" i="1"/>
  <c r="D65" i="1"/>
  <c r="G64" i="1"/>
  <c r="D64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  <c r="G2" i="1"/>
  <c r="D2" i="1"/>
</calcChain>
</file>

<file path=xl/sharedStrings.xml><?xml version="1.0" encoding="utf-8"?>
<sst xmlns="http://schemas.openxmlformats.org/spreadsheetml/2006/main" count="74" uniqueCount="26">
  <si>
    <t>Opex to Revenue</t>
  </si>
  <si>
    <t>Total Operating Expenses​</t>
  </si>
  <si>
    <t>Total Revenue</t>
  </si>
  <si>
    <t>Efisiensi Operasional</t>
  </si>
  <si>
    <t xml:space="preserve">R&amp;D Expense </t>
  </si>
  <si>
    <t>AXIO</t>
  </si>
  <si>
    <t>BUKA</t>
  </si>
  <si>
    <t>CASH</t>
  </si>
  <si>
    <t>CHIP</t>
  </si>
  <si>
    <t>DMMX</t>
  </si>
  <si>
    <t>ELIT</t>
  </si>
  <si>
    <t>EMTK</t>
  </si>
  <si>
    <t>ENVY</t>
  </si>
  <si>
    <t>KIOS</t>
  </si>
  <si>
    <t>KREN</t>
  </si>
  <si>
    <t>MCAS</t>
  </si>
  <si>
    <t>NFCX</t>
  </si>
  <si>
    <t>TFAS</t>
  </si>
  <si>
    <t>WGSH</t>
  </si>
  <si>
    <t>WIFI</t>
  </si>
  <si>
    <t>WIRG</t>
  </si>
  <si>
    <t>SAMPEL</t>
  </si>
  <si>
    <t>PERUSAHAAN</t>
  </si>
  <si>
    <t>net income</t>
  </si>
  <si>
    <t>total aset</t>
  </si>
  <si>
    <t>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</si>
</sst>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* #,##0.0000_-;\-* #,##0.0000_-;_-* &quot;-&quot;??_-;_-@_-"/>
    <numFmt numFmtId="165" formatCode="_-&quot;Rp&quot;* #,##0_-;\-&quot;Rp&quot;* #,##0_-;_-&quot;Rp&quot;* &quot;-&quot;??_-;_-@_-"/>
  </numFmts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7"/>
      <color rgb="FF30303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44" fontId="0" fillId="0" borderId="1" xfId="2" applyFont="1" applyBorder="1"/>
    <xf numFmtId="44" fontId="0" fillId="0" borderId="1" xfId="0" applyNumberFormat="1" applyBorder="1"/>
    <xf numFmtId="0" fontId="2" fillId="0" borderId="0" xfId="0" applyFont="1"/>
    <xf numFmtId="164" fontId="2" fillId="0" borderId="0" xfId="1" applyNumberFormat="1" applyFont="1"/>
    <xf numFmtId="44" fontId="0" fillId="0" borderId="0" xfId="2" applyFont="1"/>
    <xf numFmtId="164" fontId="0" fillId="0" borderId="0" xfId="1" applyNumberFormat="1" applyFont="1"/>
    <xf numFmtId="165" fontId="0" fillId="0" borderId="1" xfId="2" applyNumberFormat="1" applyFont="1" applyBorder="1"/>
    <xf numFmtId="165" fontId="0" fillId="0" borderId="0" xfId="2" applyNumberFormat="1" applyFont="1"/>
    <xf numFmtId="3" fontId="0" fillId="0" borderId="0" xfId="0" applyNumberFormat="1"/>
    <xf numFmtId="0" fontId="3" fillId="2" borderId="0" xfId="0" applyFont="1" applyFill="1" applyAlignment="1">
      <alignment vertical="center" wrapText="1"/>
    </xf>
    <xf numFmtId="164" fontId="0" fillId="0" borderId="0" xfId="1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BA9F-381C-40D3-8348-1312C3F04C36}">
  <dimension ref="A1:L66"/>
  <sheetViews>
    <sheetView tabSelected="1" workbookViewId="0">
      <pane xSplit="3" ySplit="1" topLeftCell="E46" activePane="bottomRight" state="frozen"/>
      <selection pane="topRight" activeCell="D1" sqref="D1"/>
      <selection pane="bottomLeft" activeCell="A2" sqref="A2"/>
      <selection pane="bottomRight" activeCell="I59" sqref="I59"/>
    </sheetView>
  </sheetViews>
  <sheetFormatPr defaultRowHeight="14.5" x14ac:dyDescent="0.35"/>
  <cols>
    <col min="1" max="1" width="2.81640625" bestFit="1" customWidth="1"/>
    <col min="4" max="4" width="15.6328125" style="8" bestFit="1" customWidth="1"/>
    <col min="5" max="5" width="22.7265625" style="7" bestFit="1" customWidth="1"/>
    <col min="6" max="6" width="23.1796875" style="7" bestFit="1" customWidth="1"/>
    <col min="7" max="7" width="23.1796875" bestFit="1" customWidth="1"/>
    <col min="8" max="8" width="23.1796875" style="10" bestFit="1" customWidth="1"/>
    <col min="9" max="9" width="8.453125" style="8" customWidth="1"/>
    <col min="10" max="10" width="15.1796875" bestFit="1" customWidth="1"/>
    <col min="11" max="11" width="17.1796875" bestFit="1" customWidth="1"/>
  </cols>
  <sheetData>
    <row r="1" spans="1:12" x14ac:dyDescent="0.35">
      <c r="B1" s="1"/>
      <c r="C1" s="1"/>
      <c r="D1" s="2" t="s">
        <v>0</v>
      </c>
      <c r="E1" s="3" t="s">
        <v>1</v>
      </c>
      <c r="F1" s="3" t="s">
        <v>2</v>
      </c>
      <c r="G1" s="1" t="s">
        <v>3</v>
      </c>
      <c r="H1" s="9" t="s">
        <v>4</v>
      </c>
      <c r="I1" s="13" t="s">
        <v>25</v>
      </c>
      <c r="J1" t="s">
        <v>23</v>
      </c>
      <c r="K1" t="s">
        <v>24</v>
      </c>
    </row>
    <row r="2" spans="1:12" x14ac:dyDescent="0.35">
      <c r="A2">
        <v>1</v>
      </c>
      <c r="B2" s="1" t="s">
        <v>5</v>
      </c>
      <c r="C2" s="1">
        <v>2024</v>
      </c>
      <c r="D2" s="2">
        <f>E2/F2</f>
        <v>4.8173368893713917E-2</v>
      </c>
      <c r="E2" s="3">
        <v>59413572206</v>
      </c>
      <c r="F2" s="3">
        <v>1233328155585</v>
      </c>
      <c r="G2" s="4">
        <f>H2/F2</f>
        <v>3.9081245150961036E-2</v>
      </c>
      <c r="H2" s="9">
        <v>48200000000</v>
      </c>
      <c r="I2" s="13">
        <f>J2/K2</f>
        <v>5.5961675711677636E-2</v>
      </c>
      <c r="J2">
        <v>58262602896</v>
      </c>
      <c r="K2" s="11">
        <v>1041116123759</v>
      </c>
    </row>
    <row r="3" spans="1:12" x14ac:dyDescent="0.35">
      <c r="A3">
        <v>2</v>
      </c>
      <c r="B3" s="1" t="s">
        <v>5</v>
      </c>
      <c r="C3" s="1">
        <v>2023</v>
      </c>
      <c r="D3" s="2">
        <f t="shared" ref="D3:D65" si="0">E3/F3</f>
        <v>3.4649192114674342E-2</v>
      </c>
      <c r="E3" s="3">
        <v>44080713340</v>
      </c>
      <c r="F3" s="3">
        <v>1272200321269</v>
      </c>
      <c r="G3" s="4">
        <f t="shared" ref="G3:G65" si="1">H3/F3</f>
        <v>3.5135976035136074E-2</v>
      </c>
      <c r="H3" s="9">
        <v>44700000000</v>
      </c>
      <c r="I3" s="13">
        <f t="shared" ref="I3:I65" si="2">J3/K3</f>
        <v>0.13518639637891616</v>
      </c>
      <c r="J3">
        <v>127042929881</v>
      </c>
      <c r="K3" s="11">
        <v>939761198493</v>
      </c>
      <c r="L3" s="12"/>
    </row>
    <row r="4" spans="1:12" x14ac:dyDescent="0.35">
      <c r="A4">
        <v>3</v>
      </c>
      <c r="B4" s="1" t="s">
        <v>5</v>
      </c>
      <c r="C4" s="1">
        <v>2022</v>
      </c>
      <c r="D4" s="2">
        <f t="shared" si="0"/>
        <v>3.4667528406488193E-2</v>
      </c>
      <c r="E4" s="3">
        <v>51708461146</v>
      </c>
      <c r="F4" s="3">
        <v>1491553148517</v>
      </c>
      <c r="G4" s="4">
        <f t="shared" si="1"/>
        <v>2.7018815950386282E-2</v>
      </c>
      <c r="H4" s="9">
        <v>40300000000</v>
      </c>
      <c r="I4" s="13">
        <f t="shared" si="2"/>
        <v>8.2449995740521392E-2</v>
      </c>
      <c r="J4" s="11">
        <v>89932553832</v>
      </c>
      <c r="K4" s="11">
        <v>1090752680146</v>
      </c>
    </row>
    <row r="5" spans="1:12" x14ac:dyDescent="0.35">
      <c r="A5">
        <v>4</v>
      </c>
      <c r="B5" s="1" t="s">
        <v>5</v>
      </c>
      <c r="C5" s="1">
        <v>2021</v>
      </c>
      <c r="D5" s="2">
        <f t="shared" si="0"/>
        <v>2.5405751912306061E-2</v>
      </c>
      <c r="E5" s="3">
        <v>36943680582</v>
      </c>
      <c r="F5" s="3">
        <v>1454146317319</v>
      </c>
      <c r="G5" s="4">
        <f t="shared" si="1"/>
        <v>2.537571326937188E-2</v>
      </c>
      <c r="H5" s="9">
        <v>36900000000</v>
      </c>
      <c r="I5" s="13">
        <f t="shared" si="2"/>
        <v>0.19390803825709832</v>
      </c>
      <c r="J5" s="11">
        <v>135134780004</v>
      </c>
      <c r="K5" s="11">
        <v>696901382834</v>
      </c>
    </row>
    <row r="6" spans="1:12" x14ac:dyDescent="0.35">
      <c r="A6">
        <v>5</v>
      </c>
      <c r="B6" s="1" t="s">
        <v>6</v>
      </c>
      <c r="C6" s="1">
        <v>2024</v>
      </c>
      <c r="D6" s="2">
        <f t="shared" si="0"/>
        <v>7.3635852601829699E-2</v>
      </c>
      <c r="E6" s="3">
        <v>328435496000</v>
      </c>
      <c r="F6" s="3">
        <v>4460266085000</v>
      </c>
      <c r="G6" s="4">
        <f t="shared" si="1"/>
        <v>6.9614680847006019E-2</v>
      </c>
      <c r="H6" s="9">
        <v>310500000000</v>
      </c>
      <c r="I6" s="13">
        <f t="shared" si="2"/>
        <v>-6.2450535674676913E-2</v>
      </c>
      <c r="J6">
        <v>-1548463467</v>
      </c>
      <c r="K6" s="11">
        <v>24795038990</v>
      </c>
    </row>
    <row r="7" spans="1:12" x14ac:dyDescent="0.35">
      <c r="A7">
        <v>6</v>
      </c>
      <c r="B7" s="1" t="s">
        <v>6</v>
      </c>
      <c r="C7" s="1">
        <v>2023</v>
      </c>
      <c r="D7" s="2">
        <f t="shared" si="0"/>
        <v>0.11680951297368192</v>
      </c>
      <c r="E7" s="3">
        <v>518432038000</v>
      </c>
      <c r="F7" s="3">
        <v>4438268980000</v>
      </c>
      <c r="G7" s="4">
        <f t="shared" si="1"/>
        <v>6.6647605481540695E-2</v>
      </c>
      <c r="H7" s="9">
        <v>295800000000</v>
      </c>
      <c r="I7" s="13">
        <f t="shared" si="2"/>
        <v>-5.2729395632760322E-2</v>
      </c>
      <c r="J7">
        <v>-1377543709</v>
      </c>
      <c r="K7" s="11">
        <v>26124777128</v>
      </c>
    </row>
    <row r="8" spans="1:12" x14ac:dyDescent="0.35">
      <c r="A8">
        <v>7</v>
      </c>
      <c r="B8" s="1" t="s">
        <v>6</v>
      </c>
      <c r="C8" s="1">
        <v>2022</v>
      </c>
      <c r="D8" s="2">
        <f t="shared" si="0"/>
        <v>1.00710813661232</v>
      </c>
      <c r="E8" s="3">
        <v>3644086004000</v>
      </c>
      <c r="F8" s="3">
        <v>3618366163000</v>
      </c>
      <c r="G8" s="4">
        <f t="shared" si="1"/>
        <v>7.7438265608720261E-2</v>
      </c>
      <c r="H8" s="9">
        <v>280200000000</v>
      </c>
      <c r="I8" s="13">
        <f t="shared" si="2"/>
        <v>7.2158078193765288E-5</v>
      </c>
      <c r="J8" s="11">
        <v>1977593515</v>
      </c>
      <c r="K8">
        <v>27406405000000</v>
      </c>
    </row>
    <row r="9" spans="1:12" x14ac:dyDescent="0.35">
      <c r="A9">
        <v>8</v>
      </c>
      <c r="B9" s="1" t="s">
        <v>6</v>
      </c>
      <c r="C9" s="1">
        <v>2021</v>
      </c>
      <c r="D9" s="2">
        <f t="shared" si="0"/>
        <v>1.1940110602445455</v>
      </c>
      <c r="E9" s="3">
        <v>2231752729000</v>
      </c>
      <c r="F9" s="3">
        <v>1869122325000</v>
      </c>
      <c r="G9" s="4">
        <f t="shared" si="1"/>
        <v>0.13931672449527882</v>
      </c>
      <c r="H9" s="9">
        <v>260400000000</v>
      </c>
      <c r="I9" s="13">
        <f t="shared" si="2"/>
        <v>-6.2961078580003042E-5</v>
      </c>
      <c r="J9" s="11">
        <v>-1675743735</v>
      </c>
      <c r="K9">
        <v>26615550000000</v>
      </c>
    </row>
    <row r="10" spans="1:12" x14ac:dyDescent="0.35">
      <c r="A10">
        <v>9</v>
      </c>
      <c r="B10" s="1" t="s">
        <v>7</v>
      </c>
      <c r="C10" s="1">
        <v>2024</v>
      </c>
      <c r="D10" s="2">
        <f t="shared" si="0"/>
        <v>0.39486490657844442</v>
      </c>
      <c r="E10" s="3">
        <v>54627111917</v>
      </c>
      <c r="F10" s="3">
        <v>138343800644</v>
      </c>
      <c r="G10" s="4">
        <f t="shared" si="1"/>
        <v>0.19805730269409325</v>
      </c>
      <c r="H10" s="9">
        <v>27400000000</v>
      </c>
      <c r="I10" s="13">
        <f t="shared" si="2"/>
        <v>-0.14896026684043129</v>
      </c>
      <c r="J10">
        <v>-34801681617</v>
      </c>
      <c r="K10">
        <v>233630634230</v>
      </c>
    </row>
    <row r="11" spans="1:12" x14ac:dyDescent="0.35">
      <c r="A11">
        <v>10</v>
      </c>
      <c r="B11" s="1" t="s">
        <v>7</v>
      </c>
      <c r="C11" s="1">
        <v>2023</v>
      </c>
      <c r="D11" s="2">
        <f t="shared" si="0"/>
        <v>0.2635408775033321</v>
      </c>
      <c r="E11" s="3">
        <v>51358589966</v>
      </c>
      <c r="F11" s="3">
        <v>194879027696</v>
      </c>
      <c r="G11" s="4">
        <f t="shared" si="1"/>
        <v>0.13290296193596829</v>
      </c>
      <c r="H11" s="9">
        <v>25900000000</v>
      </c>
      <c r="I11" s="13">
        <f t="shared" si="2"/>
        <v>-0.13237498030179129</v>
      </c>
      <c r="J11">
        <v>-30425313029</v>
      </c>
      <c r="K11">
        <v>229841870115</v>
      </c>
    </row>
    <row r="12" spans="1:12" x14ac:dyDescent="0.35">
      <c r="A12">
        <v>11</v>
      </c>
      <c r="B12" s="1" t="s">
        <v>7</v>
      </c>
      <c r="C12" s="1">
        <v>2022</v>
      </c>
      <c r="D12" s="2">
        <f t="shared" si="0"/>
        <v>0.32348112697272674</v>
      </c>
      <c r="E12" s="3">
        <v>39693480034</v>
      </c>
      <c r="F12" s="3">
        <v>122707251596</v>
      </c>
      <c r="G12" s="4">
        <f t="shared" si="1"/>
        <v>0.19640241050583199</v>
      </c>
      <c r="H12" s="9">
        <v>24100000000</v>
      </c>
      <c r="I12" s="13">
        <f t="shared" si="2"/>
        <v>-4.3499620928599464E-2</v>
      </c>
      <c r="J12" s="11">
        <v>-9808612348</v>
      </c>
      <c r="K12" s="11">
        <v>225487306294</v>
      </c>
    </row>
    <row r="13" spans="1:12" x14ac:dyDescent="0.35">
      <c r="A13">
        <v>12</v>
      </c>
      <c r="B13" s="1" t="s">
        <v>7</v>
      </c>
      <c r="C13" s="1">
        <v>2021</v>
      </c>
      <c r="D13" s="2">
        <f t="shared" si="0"/>
        <v>0.17972654833246537</v>
      </c>
      <c r="E13" s="3">
        <v>44748959241</v>
      </c>
      <c r="F13" s="3">
        <v>248983578977</v>
      </c>
      <c r="G13" s="4">
        <f t="shared" si="1"/>
        <v>9.0769038234797358E-2</v>
      </c>
      <c r="H13" s="9">
        <v>22600000000</v>
      </c>
      <c r="I13" s="13">
        <f t="shared" si="2"/>
        <v>-5.2082506068535588E-2</v>
      </c>
      <c r="J13" s="11">
        <v>-8071944292</v>
      </c>
      <c r="K13" s="11">
        <v>154983792089</v>
      </c>
    </row>
    <row r="14" spans="1:12" x14ac:dyDescent="0.35">
      <c r="A14">
        <v>13</v>
      </c>
      <c r="B14" s="1" t="s">
        <v>8</v>
      </c>
      <c r="C14" s="1">
        <v>2024</v>
      </c>
      <c r="D14" s="2">
        <f t="shared" si="0"/>
        <v>2.3475469045849623E-3</v>
      </c>
      <c r="E14" s="3">
        <v>462988560</v>
      </c>
      <c r="F14" s="3">
        <v>197222283012</v>
      </c>
      <c r="G14" s="4">
        <f t="shared" si="1"/>
        <v>0.10039433525265129</v>
      </c>
      <c r="H14" s="9">
        <v>19800000000</v>
      </c>
      <c r="I14" s="13">
        <f t="shared" si="2"/>
        <v>6.8001884010860686E-2</v>
      </c>
      <c r="J14">
        <v>8119250516</v>
      </c>
      <c r="K14" s="11">
        <v>119397434852</v>
      </c>
    </row>
    <row r="15" spans="1:12" x14ac:dyDescent="0.35">
      <c r="A15">
        <v>14</v>
      </c>
      <c r="B15" s="1" t="s">
        <v>8</v>
      </c>
      <c r="C15" s="1">
        <v>2023</v>
      </c>
      <c r="D15" s="2">
        <f t="shared" si="0"/>
        <v>1.5578794388824233E-3</v>
      </c>
      <c r="E15" s="3">
        <v>509502375</v>
      </c>
      <c r="F15" s="3">
        <v>327048654911</v>
      </c>
      <c r="G15" s="4">
        <f t="shared" si="1"/>
        <v>5.5954977111830631E-2</v>
      </c>
      <c r="H15" s="9">
        <v>18300000000</v>
      </c>
      <c r="I15" s="13">
        <f t="shared" si="2"/>
        <v>0.10803373516999996</v>
      </c>
      <c r="J15">
        <v>12306322915</v>
      </c>
      <c r="K15" s="11">
        <v>113911852586</v>
      </c>
    </row>
    <row r="16" spans="1:12" x14ac:dyDescent="0.35">
      <c r="A16">
        <v>15</v>
      </c>
      <c r="B16" s="1" t="s">
        <v>8</v>
      </c>
      <c r="C16" s="1">
        <v>2022</v>
      </c>
      <c r="D16" s="2">
        <f t="shared" si="0"/>
        <v>1.1833810760627293E-3</v>
      </c>
      <c r="E16" s="3">
        <v>174410327</v>
      </c>
      <c r="F16" s="3">
        <v>147383062420</v>
      </c>
      <c r="G16" s="4">
        <f t="shared" si="1"/>
        <v>0.11602418703493785</v>
      </c>
      <c r="H16" s="9">
        <v>17100000000</v>
      </c>
      <c r="I16" s="13">
        <f t="shared" si="2"/>
        <v>0.13954049996770362</v>
      </c>
      <c r="J16" s="11">
        <v>9315490754</v>
      </c>
      <c r="K16" s="11">
        <v>66758330063</v>
      </c>
    </row>
    <row r="17" spans="1:11" x14ac:dyDescent="0.35">
      <c r="A17">
        <v>16</v>
      </c>
      <c r="B17" s="1" t="s">
        <v>8</v>
      </c>
      <c r="C17" s="1">
        <v>2021</v>
      </c>
      <c r="D17" s="2">
        <f t="shared" si="0"/>
        <v>1.312917396108983E-2</v>
      </c>
      <c r="E17" s="3">
        <v>872518650</v>
      </c>
      <c r="F17" s="3">
        <v>66456477200</v>
      </c>
      <c r="G17" s="4">
        <f t="shared" si="1"/>
        <v>0.23474009844145033</v>
      </c>
      <c r="H17" s="9">
        <v>15600000000</v>
      </c>
      <c r="I17" s="13">
        <f t="shared" si="2"/>
        <v>0.14447503970765069</v>
      </c>
      <c r="J17" s="11">
        <v>5057287956</v>
      </c>
      <c r="K17" s="11">
        <v>35004579104</v>
      </c>
    </row>
    <row r="18" spans="1:11" x14ac:dyDescent="0.35">
      <c r="A18">
        <v>17</v>
      </c>
      <c r="B18" s="1" t="s">
        <v>9</v>
      </c>
      <c r="C18" s="1">
        <v>2024</v>
      </c>
      <c r="D18" s="2">
        <f t="shared" si="0"/>
        <v>1.2550055414977692E-2</v>
      </c>
      <c r="E18" s="3">
        <v>14759741483</v>
      </c>
      <c r="F18" s="3">
        <v>1176069825587</v>
      </c>
      <c r="G18" s="4">
        <f t="shared" si="1"/>
        <v>5.671431963379274E-2</v>
      </c>
      <c r="H18" s="9">
        <v>66700000000</v>
      </c>
      <c r="I18" s="13">
        <f t="shared" si="2"/>
        <v>-6.6675901926258357E-2</v>
      </c>
      <c r="J18">
        <v>-51889243431</v>
      </c>
      <c r="K18" s="11">
        <v>778230844007</v>
      </c>
    </row>
    <row r="19" spans="1:11" x14ac:dyDescent="0.35">
      <c r="A19">
        <v>18</v>
      </c>
      <c r="B19" s="1" t="s">
        <v>9</v>
      </c>
      <c r="C19" s="1">
        <v>2023</v>
      </c>
      <c r="D19" s="2">
        <f t="shared" si="0"/>
        <v>6.6341084341423372E-3</v>
      </c>
      <c r="E19" s="3">
        <v>12903710628</v>
      </c>
      <c r="F19" s="3">
        <v>1945055730713</v>
      </c>
      <c r="G19" s="4">
        <f t="shared" si="1"/>
        <v>3.2132755382330021E-2</v>
      </c>
      <c r="H19" s="9">
        <v>62500000000</v>
      </c>
      <c r="I19" s="13">
        <f t="shared" si="2"/>
        <v>-0.30782211088560046</v>
      </c>
      <c r="J19">
        <v>-267185086103</v>
      </c>
      <c r="K19" s="11">
        <v>867985361202</v>
      </c>
    </row>
    <row r="20" spans="1:11" x14ac:dyDescent="0.35">
      <c r="A20">
        <v>19</v>
      </c>
      <c r="B20" s="1" t="s">
        <v>9</v>
      </c>
      <c r="C20" s="1">
        <v>2022</v>
      </c>
      <c r="D20" s="2">
        <f t="shared" si="0"/>
        <v>6.841532683254721E-3</v>
      </c>
      <c r="E20" s="3">
        <v>13259940079</v>
      </c>
      <c r="F20" s="3">
        <v>1938153436211</v>
      </c>
      <c r="G20" s="4">
        <f t="shared" si="1"/>
        <v>3.0080177818105978E-2</v>
      </c>
      <c r="H20" s="9">
        <v>58300000000</v>
      </c>
      <c r="I20" s="13">
        <f t="shared" si="2"/>
        <v>4.2063235996380646E-3</v>
      </c>
      <c r="J20" s="11">
        <v>4772913020</v>
      </c>
      <c r="K20" s="11">
        <v>1134699436917</v>
      </c>
    </row>
    <row r="21" spans="1:11" x14ac:dyDescent="0.35">
      <c r="A21">
        <v>20</v>
      </c>
      <c r="B21" s="1" t="s">
        <v>9</v>
      </c>
      <c r="C21" s="1">
        <v>2021</v>
      </c>
      <c r="D21" s="2">
        <f t="shared" si="0"/>
        <v>7.6680067532676477E-3</v>
      </c>
      <c r="E21" s="3">
        <v>8821590990</v>
      </c>
      <c r="F21" s="3">
        <v>1150441212932</v>
      </c>
      <c r="G21" s="4">
        <f t="shared" si="1"/>
        <v>4.7025436321184479E-2</v>
      </c>
      <c r="H21" s="9">
        <v>54100000000</v>
      </c>
      <c r="I21" s="13">
        <f t="shared" si="2"/>
        <v>0.22026188902492555</v>
      </c>
      <c r="J21" s="11">
        <v>239152839217</v>
      </c>
      <c r="K21" s="11">
        <v>1085765859340</v>
      </c>
    </row>
    <row r="22" spans="1:11" x14ac:dyDescent="0.35">
      <c r="A22">
        <v>21</v>
      </c>
      <c r="B22" s="1" t="s">
        <v>10</v>
      </c>
      <c r="C22" s="1">
        <v>2024</v>
      </c>
      <c r="D22" s="2">
        <f t="shared" si="0"/>
        <v>0.17694034797394961</v>
      </c>
      <c r="E22" s="3">
        <v>84633560169</v>
      </c>
      <c r="F22" s="3">
        <v>478316908145</v>
      </c>
      <c r="G22" s="4">
        <f t="shared" si="1"/>
        <v>8.613536192935578E-2</v>
      </c>
      <c r="H22" s="9">
        <v>41200000000</v>
      </c>
      <c r="I22" s="13">
        <f t="shared" si="2"/>
        <v>9.2594337960405809E-2</v>
      </c>
      <c r="J22">
        <v>25866376730</v>
      </c>
      <c r="K22" s="11">
        <v>279351602914</v>
      </c>
    </row>
    <row r="23" spans="1:11" x14ac:dyDescent="0.35">
      <c r="A23">
        <v>22</v>
      </c>
      <c r="B23" s="1" t="s">
        <v>10</v>
      </c>
      <c r="C23" s="1">
        <v>2023</v>
      </c>
      <c r="D23" s="2">
        <f t="shared" si="0"/>
        <v>0.20250258733682988</v>
      </c>
      <c r="E23" s="3">
        <v>64716423220</v>
      </c>
      <c r="F23" s="3">
        <v>319583191855</v>
      </c>
      <c r="G23" s="4">
        <f t="shared" si="1"/>
        <v>0.12078232204875605</v>
      </c>
      <c r="H23" s="9">
        <v>38600000000</v>
      </c>
      <c r="I23" s="13">
        <f t="shared" si="2"/>
        <v>7.5057224357323621E-2</v>
      </c>
      <c r="J23">
        <v>17095918870</v>
      </c>
      <c r="K23" s="11">
        <v>227771797004</v>
      </c>
    </row>
    <row r="24" spans="1:11" x14ac:dyDescent="0.35">
      <c r="A24">
        <v>23</v>
      </c>
      <c r="B24" s="1" t="s">
        <v>10</v>
      </c>
      <c r="C24" s="1">
        <v>2022</v>
      </c>
      <c r="D24" s="2">
        <f t="shared" si="0"/>
        <v>8.3400706294024823E-2</v>
      </c>
      <c r="E24" s="3">
        <v>14718136357</v>
      </c>
      <c r="F24" s="3">
        <v>176474960597</v>
      </c>
      <c r="G24" s="4">
        <f t="shared" si="1"/>
        <v>0.20456159830197285</v>
      </c>
      <c r="H24" s="9">
        <v>36100000000</v>
      </c>
      <c r="I24" s="13">
        <f t="shared" si="2"/>
        <v>8.0511218298564294E-2</v>
      </c>
      <c r="J24" s="11">
        <v>9639739921</v>
      </c>
      <c r="K24" s="11">
        <v>119731636469</v>
      </c>
    </row>
    <row r="25" spans="1:11" x14ac:dyDescent="0.35">
      <c r="A25">
        <v>24</v>
      </c>
      <c r="B25" s="1" t="s">
        <v>10</v>
      </c>
      <c r="C25" s="1">
        <v>2021</v>
      </c>
      <c r="D25" s="2">
        <f t="shared" si="0"/>
        <v>0.14170822114630333</v>
      </c>
      <c r="E25" s="3">
        <v>10092264426</v>
      </c>
      <c r="F25" s="3">
        <v>71218623340</v>
      </c>
      <c r="G25" s="4">
        <f t="shared" si="1"/>
        <v>0.47599909139159163</v>
      </c>
      <c r="H25" s="9">
        <v>33900000000</v>
      </c>
      <c r="I25" s="13">
        <f t="shared" si="2"/>
        <v>9.7362349746486485E-2</v>
      </c>
      <c r="J25" s="11">
        <v>4891941918</v>
      </c>
      <c r="K25" s="11">
        <v>50244698600</v>
      </c>
    </row>
    <row r="26" spans="1:11" x14ac:dyDescent="0.35">
      <c r="A26">
        <v>25</v>
      </c>
      <c r="B26" s="1" t="s">
        <v>11</v>
      </c>
      <c r="C26" s="1">
        <v>2024</v>
      </c>
      <c r="D26" s="2">
        <f t="shared" si="0"/>
        <v>3.4908708283868528E-4</v>
      </c>
      <c r="E26" s="3">
        <v>3226060000</v>
      </c>
      <c r="F26" s="3">
        <v>9241419000000</v>
      </c>
      <c r="G26" s="4">
        <f t="shared" si="1"/>
        <v>8.8785066449210887E-2</v>
      </c>
      <c r="H26" s="9">
        <v>820500000000</v>
      </c>
      <c r="I26" s="13">
        <f t="shared" si="2"/>
        <v>3.946704339053568E-2</v>
      </c>
      <c r="J26">
        <v>1816242000000</v>
      </c>
      <c r="K26" s="11">
        <v>46019206000000</v>
      </c>
    </row>
    <row r="27" spans="1:11" x14ac:dyDescent="0.35">
      <c r="A27">
        <v>26</v>
      </c>
      <c r="B27" s="1" t="s">
        <v>11</v>
      </c>
      <c r="C27" s="1">
        <v>2023</v>
      </c>
      <c r="D27" s="2">
        <f t="shared" si="0"/>
        <v>2.4906665279006369E-4</v>
      </c>
      <c r="E27" s="3">
        <v>3084200000</v>
      </c>
      <c r="F27" s="3">
        <v>12383030668500</v>
      </c>
      <c r="G27" s="4">
        <f t="shared" si="1"/>
        <v>6.3005577623632611E-2</v>
      </c>
      <c r="H27" s="9">
        <v>780200000000</v>
      </c>
      <c r="I27" s="13">
        <f t="shared" si="2"/>
        <v>5.5950805817037272E-4</v>
      </c>
      <c r="J27">
        <v>23998000000</v>
      </c>
      <c r="K27" s="11">
        <v>42891250000000</v>
      </c>
    </row>
    <row r="28" spans="1:11" x14ac:dyDescent="0.35">
      <c r="A28">
        <v>27</v>
      </c>
      <c r="B28" s="1" t="s">
        <v>11</v>
      </c>
      <c r="C28" s="1">
        <v>2022</v>
      </c>
      <c r="D28" s="2">
        <f t="shared" si="0"/>
        <v>3.0126980206513469E-4</v>
      </c>
      <c r="E28" s="3">
        <v>4677105924</v>
      </c>
      <c r="F28" s="3">
        <v>15524642337000</v>
      </c>
      <c r="G28" s="4">
        <f t="shared" si="1"/>
        <v>4.7402058226238414E-2</v>
      </c>
      <c r="H28" s="9">
        <v>735900000000</v>
      </c>
      <c r="I28" s="13">
        <f t="shared" si="2"/>
        <v>-0.12282838220043198</v>
      </c>
      <c r="J28" s="11">
        <v>-5462058450</v>
      </c>
      <c r="K28" s="11">
        <v>44469025417</v>
      </c>
    </row>
    <row r="29" spans="1:11" x14ac:dyDescent="0.35">
      <c r="A29">
        <v>28</v>
      </c>
      <c r="B29" s="1" t="s">
        <v>11</v>
      </c>
      <c r="C29" s="1">
        <v>2021</v>
      </c>
      <c r="D29" s="2">
        <f t="shared" si="0"/>
        <v>2.7480576454523635E-4</v>
      </c>
      <c r="E29" s="3">
        <v>3528707819</v>
      </c>
      <c r="F29" s="3">
        <v>12840734345000</v>
      </c>
      <c r="G29" s="4">
        <f t="shared" si="1"/>
        <v>5.3766395398471271E-2</v>
      </c>
      <c r="H29" s="9">
        <v>690400000000</v>
      </c>
      <c r="I29" s="13">
        <f t="shared" si="2"/>
        <v>0.1577170716201178</v>
      </c>
      <c r="J29" s="11">
        <v>6019825801</v>
      </c>
      <c r="K29" s="11">
        <v>38168511114</v>
      </c>
    </row>
    <row r="30" spans="1:11" x14ac:dyDescent="0.35">
      <c r="A30">
        <v>29</v>
      </c>
      <c r="B30" s="1" t="s">
        <v>12</v>
      </c>
      <c r="C30" s="1">
        <v>2024</v>
      </c>
      <c r="D30" s="2">
        <f t="shared" si="0"/>
        <v>2.1719962869957463E-2</v>
      </c>
      <c r="E30" s="3">
        <v>1202825480</v>
      </c>
      <c r="F30" s="3">
        <v>55378800010</v>
      </c>
      <c r="G30" s="4">
        <f t="shared" si="1"/>
        <v>0.22932963512583704</v>
      </c>
      <c r="H30" s="9">
        <v>12700000000</v>
      </c>
      <c r="I30" s="13">
        <f t="shared" si="2"/>
        <v>-1.1586775821587572</v>
      </c>
      <c r="J30">
        <v>-14496913957</v>
      </c>
      <c r="K30">
        <v>12511603038</v>
      </c>
    </row>
    <row r="31" spans="1:11" x14ac:dyDescent="0.35">
      <c r="A31">
        <v>30</v>
      </c>
      <c r="B31" s="1" t="s">
        <v>12</v>
      </c>
      <c r="C31" s="1">
        <v>2023</v>
      </c>
      <c r="D31" s="2">
        <f t="shared" si="0"/>
        <v>7.4393794768816732E-2</v>
      </c>
      <c r="E31" s="3">
        <v>1854674836</v>
      </c>
      <c r="F31" s="3">
        <v>24930504510</v>
      </c>
      <c r="G31" s="4">
        <f t="shared" si="1"/>
        <v>0.47732688262392486</v>
      </c>
      <c r="H31" s="9">
        <v>11900000000</v>
      </c>
      <c r="I31" s="13">
        <f t="shared" si="2"/>
        <v>-2.8300060673878265</v>
      </c>
      <c r="J31">
        <v>-30878971139</v>
      </c>
      <c r="K31">
        <v>10911273829</v>
      </c>
    </row>
    <row r="32" spans="1:11" x14ac:dyDescent="0.35">
      <c r="A32">
        <v>31</v>
      </c>
      <c r="B32" s="1" t="s">
        <v>12</v>
      </c>
      <c r="C32" s="1">
        <v>2022</v>
      </c>
      <c r="D32" s="2">
        <f t="shared" si="0"/>
        <v>9.5466030305609267E-2</v>
      </c>
      <c r="E32" s="3">
        <v>3221296905</v>
      </c>
      <c r="F32" s="3">
        <v>33742860101</v>
      </c>
      <c r="G32" s="4">
        <f t="shared" si="1"/>
        <v>0.32006771114461435</v>
      </c>
      <c r="H32" s="9">
        <v>10800000000</v>
      </c>
      <c r="I32" s="13">
        <f t="shared" si="2"/>
        <v>-0.95426281072830454</v>
      </c>
      <c r="J32" s="11">
        <v>-33742870301</v>
      </c>
      <c r="K32" s="11">
        <v>35360143895</v>
      </c>
    </row>
    <row r="33" spans="1:11" x14ac:dyDescent="0.35">
      <c r="A33">
        <v>32</v>
      </c>
      <c r="B33" s="1" t="s">
        <v>12</v>
      </c>
      <c r="C33" s="1">
        <v>2021</v>
      </c>
      <c r="D33" s="2">
        <f t="shared" si="0"/>
        <v>8.2493313917820273E-3</v>
      </c>
      <c r="E33" s="3">
        <v>2073167174</v>
      </c>
      <c r="F33" s="3">
        <v>251313358082</v>
      </c>
      <c r="G33" s="4">
        <f t="shared" si="1"/>
        <v>3.9393051270954604E-2</v>
      </c>
      <c r="H33" s="9">
        <v>9900000000</v>
      </c>
      <c r="I33" s="13">
        <f t="shared" si="2"/>
        <v>-0.37638831514081778</v>
      </c>
      <c r="J33">
        <v>-25203707795</v>
      </c>
      <c r="K33" s="11">
        <v>66961982562</v>
      </c>
    </row>
    <row r="34" spans="1:11" x14ac:dyDescent="0.35">
      <c r="A34">
        <v>33</v>
      </c>
      <c r="B34" s="1" t="s">
        <v>13</v>
      </c>
      <c r="C34" s="1">
        <v>2024</v>
      </c>
      <c r="D34" s="2">
        <f t="shared" si="0"/>
        <v>3.3235882896927214E-2</v>
      </c>
      <c r="E34" s="3">
        <v>4040975826</v>
      </c>
      <c r="F34" s="3">
        <v>121584729328</v>
      </c>
      <c r="G34" s="4">
        <f t="shared" si="1"/>
        <v>0.21302017237813956</v>
      </c>
      <c r="H34" s="9">
        <v>25900000000</v>
      </c>
      <c r="I34" s="13">
        <f t="shared" si="2"/>
        <v>-9.0231060511586428E-2</v>
      </c>
      <c r="J34">
        <v>-13787758571</v>
      </c>
      <c r="K34" s="11">
        <v>152805015178</v>
      </c>
    </row>
    <row r="35" spans="1:11" x14ac:dyDescent="0.35">
      <c r="A35">
        <v>34</v>
      </c>
      <c r="B35" s="1" t="s">
        <v>13</v>
      </c>
      <c r="C35" s="1">
        <v>2023</v>
      </c>
      <c r="D35" s="2">
        <f t="shared" si="0"/>
        <v>2.3503995426023789E-2</v>
      </c>
      <c r="E35" s="3">
        <v>6376437201</v>
      </c>
      <c r="F35" s="3">
        <v>271291628739</v>
      </c>
      <c r="G35" s="4">
        <f t="shared" si="1"/>
        <v>8.9571506916559393E-2</v>
      </c>
      <c r="H35" s="9">
        <v>24300000000</v>
      </c>
      <c r="I35" s="13">
        <f t="shared" si="2"/>
        <v>-0.10270636014993699</v>
      </c>
      <c r="J35">
        <v>-17078969802</v>
      </c>
      <c r="K35" s="11">
        <v>166289310390</v>
      </c>
    </row>
    <row r="36" spans="1:11" x14ac:dyDescent="0.35">
      <c r="A36">
        <v>35</v>
      </c>
      <c r="B36" s="1" t="s">
        <v>13</v>
      </c>
      <c r="C36" s="1">
        <v>2022</v>
      </c>
      <c r="D36" s="2">
        <f t="shared" si="0"/>
        <v>1.0393293137074917E-2</v>
      </c>
      <c r="E36" s="3">
        <v>3781835303</v>
      </c>
      <c r="F36" s="3">
        <v>363872667991</v>
      </c>
      <c r="G36" s="4">
        <f t="shared" si="1"/>
        <v>6.2384460271034864E-2</v>
      </c>
      <c r="H36" s="9">
        <v>22700000000</v>
      </c>
      <c r="I36" s="13">
        <f t="shared" si="2"/>
        <v>4.5464838384895396E-3</v>
      </c>
      <c r="J36" s="11">
        <v>819110464</v>
      </c>
      <c r="K36" s="11">
        <v>180163505051</v>
      </c>
    </row>
    <row r="37" spans="1:11" x14ac:dyDescent="0.35">
      <c r="A37">
        <v>36</v>
      </c>
      <c r="B37" s="1" t="s">
        <v>13</v>
      </c>
      <c r="C37" s="1">
        <v>2021</v>
      </c>
      <c r="D37" s="2">
        <f t="shared" si="0"/>
        <v>9.8971782681735367E-3</v>
      </c>
      <c r="E37" s="3">
        <v>3355463540</v>
      </c>
      <c r="F37" s="3">
        <v>339032343268</v>
      </c>
      <c r="G37" s="4">
        <f t="shared" si="1"/>
        <v>6.2530907215662651E-2</v>
      </c>
      <c r="H37" s="9">
        <v>21200000000</v>
      </c>
      <c r="I37" s="13">
        <f t="shared" si="2"/>
        <v>3.1110624842200167E-2</v>
      </c>
      <c r="J37" s="11">
        <v>2463885853</v>
      </c>
      <c r="K37" s="11">
        <v>79197568853</v>
      </c>
    </row>
    <row r="38" spans="1:11" x14ac:dyDescent="0.35">
      <c r="A38">
        <v>37</v>
      </c>
      <c r="B38" s="1" t="s">
        <v>14</v>
      </c>
      <c r="C38" s="1">
        <v>2024</v>
      </c>
      <c r="D38" s="2">
        <f t="shared" si="0"/>
        <v>7.8015143583868747E-3</v>
      </c>
      <c r="E38" s="3">
        <v>55602599251</v>
      </c>
      <c r="F38" s="3">
        <v>7127154639051</v>
      </c>
      <c r="G38" s="4">
        <f t="shared" si="1"/>
        <v>7.7730879720854015E-3</v>
      </c>
      <c r="H38" s="9">
        <v>55400000000</v>
      </c>
      <c r="I38" s="13">
        <f t="shared" si="2"/>
        <v>-1.1923548133322437E-2</v>
      </c>
      <c r="J38">
        <v>-33145254271</v>
      </c>
      <c r="K38" s="11">
        <v>2779814691096</v>
      </c>
    </row>
    <row r="39" spans="1:11" x14ac:dyDescent="0.35">
      <c r="A39">
        <v>38</v>
      </c>
      <c r="B39" s="1" t="s">
        <v>14</v>
      </c>
      <c r="C39" s="1">
        <v>2023</v>
      </c>
      <c r="D39" s="2">
        <f t="shared" si="0"/>
        <v>7.1542391452926006E-3</v>
      </c>
      <c r="E39" s="3">
        <v>83526488443</v>
      </c>
      <c r="F39" s="3">
        <v>11675104332787</v>
      </c>
      <c r="G39" s="4">
        <f t="shared" si="1"/>
        <v>4.5224435255557111E-3</v>
      </c>
      <c r="H39" s="9">
        <v>52800000000</v>
      </c>
      <c r="I39" s="13">
        <f t="shared" si="2"/>
        <v>-1.9155007029400553E-2</v>
      </c>
      <c r="J39">
        <v>-55731060797</v>
      </c>
      <c r="K39" s="11">
        <v>2909477439056</v>
      </c>
    </row>
    <row r="40" spans="1:11" x14ac:dyDescent="0.35">
      <c r="A40">
        <v>39</v>
      </c>
      <c r="B40" s="1" t="s">
        <v>14</v>
      </c>
      <c r="C40" s="1">
        <v>2022</v>
      </c>
      <c r="D40" s="2">
        <f t="shared" si="0"/>
        <v>1.8273630705491113E-3</v>
      </c>
      <c r="E40" s="3">
        <v>22425656738</v>
      </c>
      <c r="F40" s="3">
        <v>12272140714358</v>
      </c>
      <c r="G40" s="4">
        <f t="shared" si="1"/>
        <v>4.0661202606337987E-3</v>
      </c>
      <c r="H40" s="9">
        <v>49900000000</v>
      </c>
      <c r="I40" s="13">
        <f t="shared" si="2"/>
        <v>-2.1551296497784212E-3</v>
      </c>
      <c r="J40">
        <v>-6185393042</v>
      </c>
      <c r="K40" s="11">
        <v>2870079321045</v>
      </c>
    </row>
    <row r="41" spans="1:11" x14ac:dyDescent="0.35">
      <c r="A41">
        <v>40</v>
      </c>
      <c r="B41" s="1" t="s">
        <v>14</v>
      </c>
      <c r="C41" s="1">
        <v>2021</v>
      </c>
      <c r="D41" s="2">
        <f t="shared" si="0"/>
        <v>2.1484108286830917E-3</v>
      </c>
      <c r="E41" s="3">
        <v>26646954050</v>
      </c>
      <c r="F41" s="3">
        <v>12403099860716</v>
      </c>
      <c r="G41" s="4">
        <f t="shared" si="1"/>
        <v>3.7329377752286529E-3</v>
      </c>
      <c r="H41" s="9">
        <v>46300000000</v>
      </c>
      <c r="I41" s="13">
        <f t="shared" si="2"/>
        <v>-0.10475967189341065</v>
      </c>
      <c r="J41" s="11">
        <v>-328686693757</v>
      </c>
      <c r="K41" s="11">
        <v>3137530767483</v>
      </c>
    </row>
    <row r="42" spans="1:11" x14ac:dyDescent="0.35">
      <c r="A42">
        <v>41</v>
      </c>
      <c r="B42" s="1" t="s">
        <v>15</v>
      </c>
      <c r="C42" s="1">
        <v>2024</v>
      </c>
      <c r="D42" s="2">
        <f t="shared" si="0"/>
        <v>5.0664769444012606E-3</v>
      </c>
      <c r="E42" s="3">
        <v>36193086133</v>
      </c>
      <c r="F42" s="3">
        <v>7143639757997</v>
      </c>
      <c r="G42" s="4">
        <f t="shared" si="1"/>
        <v>1.436242636467547E-2</v>
      </c>
      <c r="H42" s="9">
        <v>102600000000</v>
      </c>
      <c r="I42" s="13">
        <f t="shared" si="2"/>
        <v>-1.8640783380308334E-2</v>
      </c>
      <c r="J42">
        <v>-35260592215</v>
      </c>
      <c r="K42" s="11">
        <v>1891583175214</v>
      </c>
    </row>
    <row r="43" spans="1:11" x14ac:dyDescent="0.35">
      <c r="A43">
        <v>42</v>
      </c>
      <c r="B43" s="1" t="s">
        <v>15</v>
      </c>
      <c r="C43" s="1">
        <v>2023</v>
      </c>
      <c r="D43" s="2">
        <f t="shared" si="0"/>
        <v>2.4810061975729675E-3</v>
      </c>
      <c r="E43" s="3">
        <v>29020689698</v>
      </c>
      <c r="F43" s="3">
        <v>11697145185042</v>
      </c>
      <c r="G43" s="4">
        <f t="shared" si="1"/>
        <v>8.3182689845061226E-3</v>
      </c>
      <c r="H43" s="9">
        <v>97300000000</v>
      </c>
      <c r="I43" s="13">
        <f t="shared" si="2"/>
        <v>1.4390830645165098E-3</v>
      </c>
      <c r="J43">
        <v>2863738841</v>
      </c>
      <c r="K43" s="11">
        <v>1989974666238</v>
      </c>
    </row>
    <row r="44" spans="1:11" x14ac:dyDescent="0.35">
      <c r="A44">
        <v>43</v>
      </c>
      <c r="B44" s="1" t="s">
        <v>15</v>
      </c>
      <c r="C44" s="1">
        <v>2022</v>
      </c>
      <c r="D44" s="2">
        <f t="shared" si="0"/>
        <v>1.2936567999334294E-3</v>
      </c>
      <c r="E44" s="3">
        <v>15931225314</v>
      </c>
      <c r="F44" s="3">
        <v>12314877728637</v>
      </c>
      <c r="G44" s="4">
        <f t="shared" si="1"/>
        <v>7.4868790443284906E-3</v>
      </c>
      <c r="H44" s="9">
        <v>92200000000</v>
      </c>
      <c r="I44" s="13">
        <f t="shared" si="2"/>
        <v>1.3466093992207101E-2</v>
      </c>
      <c r="J44">
        <v>25738667330</v>
      </c>
      <c r="K44">
        <v>1911368459547</v>
      </c>
    </row>
    <row r="45" spans="1:11" x14ac:dyDescent="0.35">
      <c r="A45">
        <v>44</v>
      </c>
      <c r="B45" s="1" t="s">
        <v>15</v>
      </c>
      <c r="C45" s="1">
        <v>2021</v>
      </c>
      <c r="D45" s="2">
        <f t="shared" si="0"/>
        <v>9.8199508379625514E-4</v>
      </c>
      <c r="E45" s="3">
        <v>12447210902</v>
      </c>
      <c r="F45" s="3">
        <v>12675430974543</v>
      </c>
      <c r="G45" s="4">
        <f t="shared" si="1"/>
        <v>6.8636719473072353E-3</v>
      </c>
      <c r="H45" s="9">
        <v>87000000000</v>
      </c>
      <c r="I45" s="13">
        <f t="shared" si="2"/>
        <v>6.6224501036208694E-2</v>
      </c>
      <c r="J45">
        <v>141358466402</v>
      </c>
      <c r="K45">
        <v>2134534261341</v>
      </c>
    </row>
    <row r="46" spans="1:11" x14ac:dyDescent="0.35">
      <c r="A46">
        <v>45</v>
      </c>
      <c r="B46" s="1" t="s">
        <v>16</v>
      </c>
      <c r="C46" s="1">
        <v>2024</v>
      </c>
      <c r="D46" s="2">
        <f t="shared" si="0"/>
        <v>5.7526154487626095E-3</v>
      </c>
      <c r="E46" s="3">
        <v>34943191647</v>
      </c>
      <c r="F46" s="3">
        <v>6074313841805</v>
      </c>
      <c r="G46" s="4">
        <f t="shared" si="1"/>
        <v>6.3710899712913389E-3</v>
      </c>
      <c r="H46" s="9">
        <v>38700000000</v>
      </c>
      <c r="I46" s="13">
        <f t="shared" si="2"/>
        <v>-0.10768622362417965</v>
      </c>
      <c r="J46">
        <v>-147089165720</v>
      </c>
      <c r="K46">
        <v>1365905134099</v>
      </c>
    </row>
    <row r="47" spans="1:11" x14ac:dyDescent="0.35">
      <c r="A47">
        <v>46</v>
      </c>
      <c r="B47" s="1" t="s">
        <v>16</v>
      </c>
      <c r="C47" s="1">
        <v>2023</v>
      </c>
      <c r="D47" s="2">
        <f t="shared" si="0"/>
        <v>2.7336326771428285E-3</v>
      </c>
      <c r="E47" s="3">
        <v>26040863346</v>
      </c>
      <c r="F47" s="3">
        <v>9526101865748</v>
      </c>
      <c r="G47" s="4">
        <f t="shared" si="1"/>
        <v>3.8210802816291143E-3</v>
      </c>
      <c r="H47" s="9">
        <v>36400000000</v>
      </c>
      <c r="I47" s="13">
        <f t="shared" si="2"/>
        <v>-0.30278816482515447</v>
      </c>
      <c r="J47">
        <v>-477757489174</v>
      </c>
      <c r="K47">
        <v>1577860513306</v>
      </c>
    </row>
    <row r="48" spans="1:11" x14ac:dyDescent="0.35">
      <c r="A48">
        <v>47</v>
      </c>
      <c r="B48" s="1" t="s">
        <v>16</v>
      </c>
      <c r="C48" s="1">
        <v>2022</v>
      </c>
      <c r="D48" s="2">
        <f t="shared" si="0"/>
        <v>9.9918479417533614E-4</v>
      </c>
      <c r="E48" s="3">
        <v>9828603503</v>
      </c>
      <c r="F48" s="3">
        <v>9836622374855</v>
      </c>
      <c r="G48" s="4">
        <f t="shared" si="1"/>
        <v>3.4666370935585154E-3</v>
      </c>
      <c r="H48" s="9">
        <v>34100000000</v>
      </c>
      <c r="I48" s="13">
        <f t="shared" si="2"/>
        <v>1.2540334038221475E-2</v>
      </c>
      <c r="J48" s="11">
        <v>23324457502</v>
      </c>
      <c r="K48">
        <v>1859955040345</v>
      </c>
    </row>
    <row r="49" spans="1:11" x14ac:dyDescent="0.35">
      <c r="A49">
        <v>48</v>
      </c>
      <c r="B49" s="1" t="s">
        <v>16</v>
      </c>
      <c r="C49" s="1">
        <v>2021</v>
      </c>
      <c r="D49" s="2">
        <f t="shared" si="0"/>
        <v>9.9338337344955082E-4</v>
      </c>
      <c r="E49" s="3">
        <v>8827096785</v>
      </c>
      <c r="F49" s="3">
        <v>8885891410028</v>
      </c>
      <c r="G49" s="4">
        <f t="shared" si="1"/>
        <v>3.6237219783781418E-3</v>
      </c>
      <c r="H49" s="9">
        <v>32200000000</v>
      </c>
      <c r="I49" s="13">
        <f t="shared" si="2"/>
        <v>0.17573269608254921</v>
      </c>
      <c r="J49" s="11">
        <v>338582980579</v>
      </c>
      <c r="K49">
        <v>1926693143204</v>
      </c>
    </row>
    <row r="50" spans="1:11" x14ac:dyDescent="0.35">
      <c r="A50">
        <v>49</v>
      </c>
      <c r="B50" s="1" t="s">
        <v>17</v>
      </c>
      <c r="C50" s="1">
        <v>2024</v>
      </c>
      <c r="D50" s="2">
        <f t="shared" si="0"/>
        <v>4.6132247172900416E-3</v>
      </c>
      <c r="E50" s="3">
        <v>1854263566</v>
      </c>
      <c r="F50" s="3">
        <v>401945207449</v>
      </c>
      <c r="G50" s="4">
        <f t="shared" si="1"/>
        <v>3.8064889732368087E-2</v>
      </c>
      <c r="H50" s="9">
        <v>15300000000</v>
      </c>
      <c r="I50" s="13">
        <f t="shared" si="2"/>
        <v>-3.9096322972970783E-2</v>
      </c>
      <c r="J50">
        <v>-9782686829</v>
      </c>
      <c r="K50">
        <v>250220125196</v>
      </c>
    </row>
    <row r="51" spans="1:11" x14ac:dyDescent="0.35">
      <c r="A51">
        <v>50</v>
      </c>
      <c r="B51" s="1" t="s">
        <v>17</v>
      </c>
      <c r="C51" s="1">
        <v>2023</v>
      </c>
      <c r="D51" s="2">
        <f t="shared" si="0"/>
        <v>4.6726141243438575E-3</v>
      </c>
      <c r="E51" s="3">
        <v>2959713691</v>
      </c>
      <c r="F51" s="3">
        <v>633417100629</v>
      </c>
      <c r="G51" s="4">
        <f t="shared" si="1"/>
        <v>2.2260213666473995E-2</v>
      </c>
      <c r="H51" s="9">
        <v>14100000000</v>
      </c>
      <c r="I51" s="13">
        <f t="shared" si="2"/>
        <v>3.4784229374819381E-3</v>
      </c>
      <c r="J51">
        <v>890780769</v>
      </c>
      <c r="K51">
        <v>256087538810</v>
      </c>
    </row>
    <row r="52" spans="1:11" x14ac:dyDescent="0.35">
      <c r="A52">
        <v>51</v>
      </c>
      <c r="B52" s="1" t="s">
        <v>17</v>
      </c>
      <c r="C52" s="1">
        <v>2022</v>
      </c>
      <c r="D52" s="2">
        <f t="shared" si="0"/>
        <v>9.8506038715269924E-3</v>
      </c>
      <c r="E52" s="3">
        <v>7540794215</v>
      </c>
      <c r="F52" s="3">
        <v>765515933170</v>
      </c>
      <c r="G52" s="4">
        <f t="shared" si="1"/>
        <v>1.6851380149046833E-2</v>
      </c>
      <c r="H52" s="9">
        <v>12900000000</v>
      </c>
      <c r="I52" s="13">
        <f t="shared" si="2"/>
        <v>5.104146427863685E-3</v>
      </c>
      <c r="J52" s="11">
        <v>1345508054</v>
      </c>
      <c r="K52" s="11">
        <v>263610786449</v>
      </c>
    </row>
    <row r="53" spans="1:11" x14ac:dyDescent="0.35">
      <c r="A53">
        <v>52</v>
      </c>
      <c r="B53" s="1" t="s">
        <v>17</v>
      </c>
      <c r="C53" s="1">
        <v>2021</v>
      </c>
      <c r="D53" s="2">
        <f t="shared" si="0"/>
        <v>9.8291140959587357E-3</v>
      </c>
      <c r="E53" s="3">
        <v>6335614912</v>
      </c>
      <c r="F53" s="3">
        <v>644576393167</v>
      </c>
      <c r="G53" s="4">
        <f t="shared" si="1"/>
        <v>1.8306596588222861E-2</v>
      </c>
      <c r="H53" s="9">
        <v>11800000000</v>
      </c>
      <c r="I53" s="13">
        <f t="shared" si="2"/>
        <v>9.6841642661004618E-2</v>
      </c>
      <c r="J53" s="11">
        <v>26636364297</v>
      </c>
      <c r="K53" s="11">
        <v>275050727818</v>
      </c>
    </row>
    <row r="54" spans="1:11" x14ac:dyDescent="0.35">
      <c r="A54">
        <v>53</v>
      </c>
      <c r="B54" s="1" t="s">
        <v>18</v>
      </c>
      <c r="C54" s="1">
        <v>2024</v>
      </c>
      <c r="D54" s="2">
        <f t="shared" si="0"/>
        <v>2.527318625997425E-2</v>
      </c>
      <c r="E54" s="3">
        <v>8903742327</v>
      </c>
      <c r="F54" s="3">
        <v>352299952820</v>
      </c>
      <c r="G54" s="4">
        <f t="shared" si="1"/>
        <v>2.6681808852817887E-2</v>
      </c>
      <c r="H54" s="9">
        <v>9400000000</v>
      </c>
      <c r="I54" s="13">
        <f t="shared" si="2"/>
        <v>6.3555350191767279E-2</v>
      </c>
      <c r="J54">
        <v>4293364203</v>
      </c>
      <c r="K54">
        <v>67553151545</v>
      </c>
    </row>
    <row r="55" spans="1:11" x14ac:dyDescent="0.35">
      <c r="A55">
        <v>54</v>
      </c>
      <c r="B55" s="1" t="s">
        <v>18</v>
      </c>
      <c r="C55" s="1">
        <v>2023</v>
      </c>
      <c r="D55" s="2">
        <f t="shared" si="0"/>
        <v>2.5797053637253081E-2</v>
      </c>
      <c r="E55" s="3">
        <v>8551054771</v>
      </c>
      <c r="F55" s="3">
        <v>331474085810</v>
      </c>
      <c r="G55" s="4">
        <f t="shared" si="1"/>
        <v>2.6548078346746343E-2</v>
      </c>
      <c r="H55" s="9">
        <v>8800000000</v>
      </c>
      <c r="I55" s="13">
        <f t="shared" si="2"/>
        <v>7.6788313790773208E-2</v>
      </c>
      <c r="J55" s="11">
        <v>4458357156</v>
      </c>
      <c r="K55">
        <v>58060360176</v>
      </c>
    </row>
    <row r="56" spans="1:11" x14ac:dyDescent="0.35">
      <c r="A56">
        <v>55</v>
      </c>
      <c r="B56" s="1" t="s">
        <v>18</v>
      </c>
      <c r="C56" s="1">
        <v>2022</v>
      </c>
      <c r="D56" s="2">
        <f t="shared" si="0"/>
        <v>0.48016326695134576</v>
      </c>
      <c r="E56" s="3">
        <v>128171330980</v>
      </c>
      <c r="F56" s="3">
        <v>266932811820</v>
      </c>
      <c r="G56" s="4">
        <f t="shared" si="1"/>
        <v>3.0719340736310385E-2</v>
      </c>
      <c r="H56" s="9">
        <v>8200000000</v>
      </c>
      <c r="I56" s="13">
        <f t="shared" si="2"/>
        <v>8.3600262806763428E-2</v>
      </c>
      <c r="J56" s="11">
        <v>4776725716</v>
      </c>
      <c r="K56" s="11">
        <v>57137687797</v>
      </c>
    </row>
    <row r="57" spans="1:11" x14ac:dyDescent="0.35">
      <c r="A57">
        <v>56</v>
      </c>
      <c r="B57" s="1" t="s">
        <v>18</v>
      </c>
      <c r="C57" s="1">
        <v>2021</v>
      </c>
      <c r="D57" s="2">
        <f t="shared" si="0"/>
        <v>0.4349133005731351</v>
      </c>
      <c r="E57" s="3">
        <v>96205910280</v>
      </c>
      <c r="F57" s="3">
        <v>221207100710</v>
      </c>
      <c r="G57" s="4">
        <f t="shared" si="1"/>
        <v>3.435694412885739E-2</v>
      </c>
      <c r="H57" s="9">
        <v>7600000000</v>
      </c>
      <c r="I57" s="13">
        <f t="shared" si="2"/>
        <v>7.2690776219183434E-2</v>
      </c>
      <c r="J57" s="11">
        <v>3960992608</v>
      </c>
      <c r="K57" s="11">
        <v>54490993411</v>
      </c>
    </row>
    <row r="58" spans="1:11" x14ac:dyDescent="0.35">
      <c r="A58">
        <v>57</v>
      </c>
      <c r="B58" s="1" t="s">
        <v>19</v>
      </c>
      <c r="C58" s="1">
        <v>2024</v>
      </c>
      <c r="D58" s="2">
        <f t="shared" si="0"/>
        <v>1.1611847045979827E-2</v>
      </c>
      <c r="E58" s="3">
        <v>7801465900</v>
      </c>
      <c r="F58" s="3">
        <v>671854001272</v>
      </c>
      <c r="G58" s="4">
        <f t="shared" si="1"/>
        <v>0.1079103493656926</v>
      </c>
      <c r="H58" s="9">
        <v>72500000000</v>
      </c>
      <c r="I58" s="13">
        <f t="shared" si="2"/>
        <v>7.9516244422750113E-2</v>
      </c>
      <c r="J58">
        <v>231186780014</v>
      </c>
      <c r="K58">
        <v>2907415732374</v>
      </c>
    </row>
    <row r="59" spans="1:11" x14ac:dyDescent="0.35">
      <c r="A59">
        <v>58</v>
      </c>
      <c r="B59" s="1" t="s">
        <v>19</v>
      </c>
      <c r="C59" s="1">
        <v>2023</v>
      </c>
      <c r="D59" s="2">
        <f t="shared" si="0"/>
        <v>1161.1847045979821</v>
      </c>
      <c r="E59" s="3">
        <v>510139057965684</v>
      </c>
      <c r="F59" s="3">
        <v>439326367240</v>
      </c>
      <c r="G59" s="4">
        <f t="shared" si="1"/>
        <v>0.1568310147939756</v>
      </c>
      <c r="H59" s="9">
        <v>68900000000</v>
      </c>
      <c r="I59" s="13">
        <f t="shared" si="2"/>
        <v>3.7426301772193173E-2</v>
      </c>
      <c r="J59">
        <v>58543329595</v>
      </c>
      <c r="K59">
        <v>1564229614546</v>
      </c>
    </row>
    <row r="60" spans="1:11" x14ac:dyDescent="0.35">
      <c r="A60">
        <v>59</v>
      </c>
      <c r="B60" s="1" t="s">
        <v>19</v>
      </c>
      <c r="C60" s="1">
        <v>2022</v>
      </c>
      <c r="D60" s="2">
        <f t="shared" si="0"/>
        <v>7.7411164713581523E-3</v>
      </c>
      <c r="E60" s="3">
        <v>3570610703</v>
      </c>
      <c r="F60" s="3">
        <v>461252677984</v>
      </c>
      <c r="G60" s="4">
        <f t="shared" si="1"/>
        <v>0.14157099376724949</v>
      </c>
      <c r="H60" s="9">
        <v>65300000000</v>
      </c>
      <c r="I60" s="13">
        <f t="shared" si="2"/>
        <v>4.1517935851626678E-2</v>
      </c>
      <c r="J60" s="11">
        <v>58446226258</v>
      </c>
      <c r="K60" s="11">
        <v>1407734393802</v>
      </c>
    </row>
    <row r="61" spans="1:11" x14ac:dyDescent="0.35">
      <c r="A61">
        <v>60</v>
      </c>
      <c r="B61" s="1" t="s">
        <v>19</v>
      </c>
      <c r="C61" s="1">
        <v>2021</v>
      </c>
      <c r="D61" s="2">
        <f t="shared" si="0"/>
        <v>7.6491435936173312E-3</v>
      </c>
      <c r="E61" s="3">
        <v>2990487126</v>
      </c>
      <c r="F61" s="3">
        <v>390957116885</v>
      </c>
      <c r="G61" s="4">
        <f t="shared" si="1"/>
        <v>0.15807360278385332</v>
      </c>
      <c r="H61" s="9">
        <v>61800000000</v>
      </c>
      <c r="I61" s="13">
        <f t="shared" si="2"/>
        <v>2.7679041321892969E-2</v>
      </c>
      <c r="J61" s="11">
        <v>24808986328</v>
      </c>
      <c r="K61" s="11">
        <v>896309450876</v>
      </c>
    </row>
    <row r="62" spans="1:11" x14ac:dyDescent="0.35">
      <c r="A62">
        <v>61</v>
      </c>
      <c r="B62" s="1" t="s">
        <v>20</v>
      </c>
      <c r="C62" s="1">
        <v>2024</v>
      </c>
      <c r="D62" s="2">
        <f t="shared" si="0"/>
        <v>1.6361282804328442E-2</v>
      </c>
      <c r="E62" s="3">
        <v>42576611668</v>
      </c>
      <c r="F62" s="3">
        <v>2602278328490</v>
      </c>
      <c r="G62" s="4">
        <f t="shared" si="1"/>
        <v>6.175357886996196E-2</v>
      </c>
      <c r="H62" s="9">
        <v>160700000000</v>
      </c>
      <c r="I62" s="13">
        <f t="shared" si="2"/>
        <v>5.4989084938713594E-2</v>
      </c>
      <c r="J62">
        <v>79174975065</v>
      </c>
      <c r="K62" s="11">
        <v>1439830743742</v>
      </c>
    </row>
    <row r="63" spans="1:11" x14ac:dyDescent="0.35">
      <c r="A63">
        <v>62</v>
      </c>
      <c r="B63" s="1" t="s">
        <v>20</v>
      </c>
      <c r="C63" s="1">
        <v>2023</v>
      </c>
      <c r="D63" s="2">
        <f t="shared" si="0"/>
        <v>1.6777796282602769E-2</v>
      </c>
      <c r="E63" s="3">
        <v>41803507703</v>
      </c>
      <c r="F63" s="3">
        <v>2491597048794</v>
      </c>
      <c r="G63" s="4">
        <f t="shared" si="1"/>
        <v>6.1366263085761687E-2</v>
      </c>
      <c r="H63" s="9">
        <v>152900000000</v>
      </c>
      <c r="I63" s="13">
        <f t="shared" si="2"/>
        <v>6.08037593973118E-2</v>
      </c>
      <c r="J63">
        <v>68504864216</v>
      </c>
      <c r="K63" s="11">
        <v>1126655076841</v>
      </c>
    </row>
    <row r="64" spans="1:11" x14ac:dyDescent="0.35">
      <c r="A64">
        <v>63</v>
      </c>
      <c r="B64" s="1" t="s">
        <v>20</v>
      </c>
      <c r="C64" s="1">
        <v>2022</v>
      </c>
      <c r="D64" s="2">
        <f t="shared" si="0"/>
        <v>7.2706454061699111E-3</v>
      </c>
      <c r="E64" s="3">
        <v>12319954273</v>
      </c>
      <c r="F64" s="3">
        <v>1694478768356</v>
      </c>
      <c r="G64" s="4">
        <f t="shared" si="1"/>
        <v>8.57490826757136E-2</v>
      </c>
      <c r="H64" s="9">
        <v>145300000000</v>
      </c>
      <c r="I64" s="13">
        <f t="shared" si="2"/>
        <v>7.7744545431849513E-2</v>
      </c>
      <c r="J64" s="11">
        <v>68815640227</v>
      </c>
      <c r="K64" s="11">
        <v>885150718224</v>
      </c>
    </row>
    <row r="65" spans="1:11" x14ac:dyDescent="0.35">
      <c r="A65" s="5">
        <v>64</v>
      </c>
      <c r="B65" s="1" t="s">
        <v>20</v>
      </c>
      <c r="C65" s="1">
        <v>2021</v>
      </c>
      <c r="D65" s="2">
        <f t="shared" si="0"/>
        <v>1.4685696501037071E-2</v>
      </c>
      <c r="E65" s="3">
        <v>8892470320</v>
      </c>
      <c r="F65" s="3">
        <v>605519140299</v>
      </c>
      <c r="G65" s="4">
        <f t="shared" si="1"/>
        <v>0.22724302312236461</v>
      </c>
      <c r="H65" s="9">
        <v>137600000000</v>
      </c>
      <c r="I65" s="13">
        <f t="shared" si="2"/>
        <v>0.12622308508289373</v>
      </c>
      <c r="J65" s="11">
        <v>32852517652</v>
      </c>
      <c r="K65" s="11">
        <v>260273448636</v>
      </c>
    </row>
    <row r="66" spans="1:11" x14ac:dyDescent="0.35">
      <c r="A66" s="5" t="s">
        <v>21</v>
      </c>
      <c r="B66" s="5"/>
      <c r="C66" s="5">
        <f>A65/4</f>
        <v>16</v>
      </c>
      <c r="D66" s="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DA03-0043-4B28-BCDA-4AAD70BD66B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 INDRA PRATAMA</dc:creator>
  <cp:lastModifiedBy>SARI INDRA PRATAMA</cp:lastModifiedBy>
  <dcterms:created xsi:type="dcterms:W3CDTF">2025-11-18T07:09:23Z</dcterms:created>
  <dcterms:modified xsi:type="dcterms:W3CDTF">2025-11-19T04:12:42Z</dcterms:modified>
</cp:coreProperties>
</file>