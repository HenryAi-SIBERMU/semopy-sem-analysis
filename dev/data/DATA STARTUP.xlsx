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9A3B90-D755-4EC5-9351-8B9FCF36BB79}" xr6:coauthVersionLast="47" xr6:coauthVersionMax="47" xr10:uidLastSave="{00000000-0000-0000-0000-000000000000}"/>
  <bookViews>
    <workbookView xWindow="-110" yWindow="-110" windowWidth="19420" windowHeight="11020" xr2:uid="{5028520D-E4DB-4278-9964-69F23AF77F3C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J8" i="1"/>
  <c r="G5" i="1"/>
  <c r="G6" i="1"/>
  <c r="G7" i="1"/>
  <c r="G9" i="1"/>
  <c r="G10" i="1"/>
  <c r="G11" i="1"/>
  <c r="G12" i="1"/>
  <c r="G13" i="1"/>
  <c r="G14" i="1"/>
  <c r="G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D24" i="1"/>
  <c r="D2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J22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1" i="1"/>
  <c r="J20" i="1"/>
  <c r="J19" i="1"/>
  <c r="J18" i="1"/>
  <c r="G18" i="1" s="1"/>
  <c r="J17" i="1"/>
  <c r="J16" i="1"/>
  <c r="J15" i="1"/>
  <c r="J14" i="1"/>
  <c r="J13" i="1"/>
  <c r="J12" i="1"/>
  <c r="J11" i="1"/>
  <c r="J10" i="1"/>
  <c r="J9" i="1"/>
  <c r="J7" i="1"/>
  <c r="J6" i="1"/>
  <c r="J5" i="1"/>
  <c r="J4" i="1"/>
  <c r="G4" i="1"/>
  <c r="D4" i="1"/>
</calcChain>
</file>

<file path=xl/sharedStrings.xml><?xml version="1.0" encoding="utf-8"?>
<sst xmlns="http://schemas.openxmlformats.org/spreadsheetml/2006/main" count="71" uniqueCount="28">
  <si>
    <t>Perusahaan Startup yang Sudah Go-Public</t>
  </si>
  <si>
    <t>Efisiensi Operasional</t>
  </si>
  <si>
    <t xml:space="preserve">R&amp;D Expense </t>
  </si>
  <si>
    <t>Total Revenue</t>
  </si>
  <si>
    <t>Tobins Q</t>
  </si>
  <si>
    <t>harga</t>
  </si>
  <si>
    <t>share outstanding</t>
  </si>
  <si>
    <t>Market Value of Equity (Nilai Pasar Ekuitas) = Harga saham penutupan × Jumlah saham beredar</t>
  </si>
  <si>
    <t>Book Value of Debt (Nilai Buku Utang) = Total kewajiban perusahaan (jangka pendek + jangka panjang)</t>
  </si>
  <si>
    <t>Book Value of Total Assets (Nilai Buku Aset Total) = Total aset dalam neraca pada akhir periode</t>
  </si>
  <si>
    <t>BELI</t>
  </si>
  <si>
    <t>PT Global Digital Niaga Tbk (kode: BELI) – brand Blibli</t>
  </si>
  <si>
    <t>BUKA</t>
  </si>
  <si>
    <t>PT Bukalapakcom Tbk (kode: BUKA)</t>
  </si>
  <si>
    <t>GOTO</t>
  </si>
  <si>
    <t>PT GoTo Gojek Tokopedia Tbk (kode: GOTO)</t>
  </si>
  <si>
    <t>DMMX</t>
  </si>
  <si>
    <t>HDIT</t>
  </si>
  <si>
    <t>TFAS</t>
  </si>
  <si>
    <t>CASH</t>
  </si>
  <si>
    <t>Emiten</t>
  </si>
  <si>
    <t>Tahun</t>
  </si>
  <si>
    <t>R&amp;D Expenses (Rp)</t>
  </si>
  <si>
    <t>4.250.000.000.000</t>
  </si>
  <si>
    <t>3.980.000.000.000</t>
  </si>
  <si>
    <t>3.720.000.000.000</t>
  </si>
  <si>
    <t>3.450.000.000.000</t>
  </si>
  <si>
    <t>3.120.000.000.000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</si>
</sst>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&quot;Rp&quot;* #,##0_-;\-&quot;Rp&quot;* #,##0_-;_-&quot;Rp&quot;* &quot;-&quot;??_-;_-@_-"/>
  </numFmts>
  <fonts count="3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2" applyNumberFormat="1" applyFont="1"/>
    <xf numFmtId="164" fontId="0" fillId="0" borderId="1" xfId="2" applyNumberFormat="1" applyFont="1" applyBorder="1" applyAlignment="1">
      <alignment wrapText="1"/>
    </xf>
    <xf numFmtId="164" fontId="2" fillId="2" borderId="1" xfId="2" applyNumberFormat="1" applyFont="1" applyFill="1" applyBorder="1" applyAlignment="1">
      <alignment horizontal="center" vertical="center" wrapText="1"/>
    </xf>
    <xf numFmtId="164" fontId="2" fillId="0" borderId="1" xfId="2" applyNumberFormat="1" applyFont="1" applyBorder="1" applyAlignment="1">
      <alignment horizontal="center" vertical="center" wrapText="1"/>
    </xf>
    <xf numFmtId="164" fontId="2" fillId="0" borderId="1" xfId="2" applyNumberFormat="1" applyFont="1" applyBorder="1" applyAlignment="1">
      <alignment horizontal="center" wrapText="1"/>
    </xf>
    <xf numFmtId="1" fontId="0" fillId="0" borderId="1" xfId="2" applyNumberFormat="1" applyFont="1" applyBorder="1" applyAlignment="1">
      <alignment wrapText="1"/>
    </xf>
    <xf numFmtId="43" fontId="0" fillId="2" borderId="1" xfId="1" applyFont="1" applyFill="1" applyBorder="1" applyAlignment="1">
      <alignment wrapText="1"/>
    </xf>
    <xf numFmtId="43" fontId="0" fillId="0" borderId="1" xfId="1" applyFont="1" applyBorder="1" applyAlignment="1">
      <alignment wrapText="1"/>
    </xf>
    <xf numFmtId="164" fontId="0" fillId="0" borderId="1" xfId="2" applyNumberFormat="1" applyFont="1" applyBorder="1"/>
    <xf numFmtId="164" fontId="0" fillId="0" borderId="0" xfId="2" applyNumberFormat="1" applyFont="1" applyBorder="1" applyAlignment="1">
      <alignment wrapText="1"/>
    </xf>
    <xf numFmtId="164" fontId="0" fillId="0" borderId="0" xfId="2" applyNumberFormat="1" applyFont="1" applyBorder="1"/>
    <xf numFmtId="43" fontId="0" fillId="0" borderId="0" xfId="1" applyFont="1" applyBorder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8184-F98E-4326-A449-CC6C910DCE00}">
  <dimension ref="A1:Q39"/>
  <sheetViews>
    <sheetView tabSelected="1" workbookViewId="0">
      <pane xSplit="3" ySplit="3" topLeftCell="D4" activePane="bottomRight" state="frozen"/>
      <selection pane="topRight" activeCell="D1" sqref="D1"/>
      <selection pane="bottomLeft" activeCell="A13" sqref="A13"/>
      <selection pane="bottomRight" activeCell="H7" sqref="H7"/>
    </sheetView>
  </sheetViews>
  <sheetFormatPr defaultRowHeight="14.5" x14ac:dyDescent="0.35"/>
  <cols>
    <col min="1" max="1" width="8.7265625" style="1"/>
    <col min="2" max="2" width="43.7265625" style="1" hidden="1" customWidth="1"/>
    <col min="3" max="3" width="8.90625" style="1" customWidth="1"/>
    <col min="4" max="4" width="18.54296875" style="1" customWidth="1"/>
    <col min="5" max="9" width="20.26953125" style="1" customWidth="1"/>
    <col min="10" max="12" width="38" style="1" customWidth="1"/>
    <col min="13" max="16384" width="8.7265625" style="1"/>
  </cols>
  <sheetData>
    <row r="1" spans="1:17" x14ac:dyDescent="0.35">
      <c r="B1" s="1" t="s">
        <v>0</v>
      </c>
    </row>
    <row r="3" spans="1:17" ht="40" customHeight="1" x14ac:dyDescent="0.35">
      <c r="B3" s="2"/>
      <c r="C3" s="2"/>
      <c r="D3" s="3" t="s">
        <v>1</v>
      </c>
      <c r="E3" s="4" t="s">
        <v>2</v>
      </c>
      <c r="F3" s="4" t="s">
        <v>3</v>
      </c>
      <c r="G3" s="3" t="s">
        <v>4</v>
      </c>
      <c r="H3" s="4" t="s">
        <v>5</v>
      </c>
      <c r="I3" s="4" t="s">
        <v>6</v>
      </c>
      <c r="J3" s="5" t="s">
        <v>7</v>
      </c>
      <c r="K3" s="5" t="s">
        <v>8</v>
      </c>
      <c r="L3" s="5" t="s">
        <v>9</v>
      </c>
    </row>
    <row r="4" spans="1:17" x14ac:dyDescent="0.35">
      <c r="A4" s="1" t="s">
        <v>10</v>
      </c>
      <c r="B4" s="1" t="s">
        <v>11</v>
      </c>
      <c r="C4" s="6">
        <v>2024</v>
      </c>
      <c r="D4" s="7">
        <f>E4/F4</f>
        <v>0.22509574303631535</v>
      </c>
      <c r="E4" s="2">
        <v>3762605000000</v>
      </c>
      <c r="F4" s="2">
        <v>16715576000000</v>
      </c>
      <c r="G4" s="7">
        <f t="shared" ref="G4:G38" si="0">(J4+K4)/L4</f>
        <v>4.0399164752943451</v>
      </c>
      <c r="H4" s="8">
        <v>450</v>
      </c>
      <c r="I4" s="8">
        <v>131000399381</v>
      </c>
      <c r="J4" s="2">
        <f>H4*I4</f>
        <v>58950179721450</v>
      </c>
      <c r="K4" s="2">
        <v>6348380000000</v>
      </c>
      <c r="L4" s="2">
        <v>16163344000000</v>
      </c>
    </row>
    <row r="5" spans="1:17" x14ac:dyDescent="0.35">
      <c r="A5" s="1" t="s">
        <v>10</v>
      </c>
      <c r="B5" s="1" t="s">
        <v>11</v>
      </c>
      <c r="C5" s="6">
        <v>2023</v>
      </c>
      <c r="D5" s="7">
        <f t="shared" ref="D5:D38" si="1">E5/F5</f>
        <v>0.25408597805012345</v>
      </c>
      <c r="E5" s="9">
        <v>3739611000000</v>
      </c>
      <c r="F5" s="2">
        <v>14717896000000</v>
      </c>
      <c r="G5" s="7">
        <f t="shared" si="0"/>
        <v>4.9224202052952233</v>
      </c>
      <c r="H5" s="8">
        <v>482</v>
      </c>
      <c r="I5" s="8">
        <v>120766180771</v>
      </c>
      <c r="J5" s="2">
        <f t="shared" ref="J5:J38" si="2">H5*I5</f>
        <v>58209299131622</v>
      </c>
      <c r="K5" s="2">
        <v>4999164000000</v>
      </c>
      <c r="L5" s="2">
        <v>12840932000000</v>
      </c>
    </row>
    <row r="6" spans="1:17" x14ac:dyDescent="0.35">
      <c r="A6" s="1" t="s">
        <v>10</v>
      </c>
      <c r="B6" s="1" t="s">
        <v>11</v>
      </c>
      <c r="C6" s="6">
        <v>2022</v>
      </c>
      <c r="D6" s="7">
        <f t="shared" si="1"/>
        <v>0.23175787038352938</v>
      </c>
      <c r="E6" s="2">
        <v>3538729000000</v>
      </c>
      <c r="F6" s="2">
        <v>15269078000000</v>
      </c>
      <c r="G6" s="7">
        <f t="shared" si="0"/>
        <v>4.2116710072478147</v>
      </c>
      <c r="H6" s="8">
        <v>470</v>
      </c>
      <c r="I6" s="8">
        <v>118493291840</v>
      </c>
      <c r="J6" s="2">
        <f t="shared" si="2"/>
        <v>55691847164800</v>
      </c>
      <c r="K6" s="2">
        <v>3594978000000</v>
      </c>
      <c r="L6" s="2">
        <v>14076794000000</v>
      </c>
    </row>
    <row r="7" spans="1:17" x14ac:dyDescent="0.35">
      <c r="A7" s="1" t="s">
        <v>10</v>
      </c>
      <c r="B7" s="1" t="s">
        <v>11</v>
      </c>
      <c r="C7" s="6">
        <v>2021</v>
      </c>
      <c r="D7" s="7">
        <f t="shared" si="1"/>
        <v>0.28769671404274966</v>
      </c>
      <c r="E7" s="2">
        <v>2548372900000</v>
      </c>
      <c r="F7" s="2">
        <v>8857845000000</v>
      </c>
      <c r="G7" s="7">
        <f t="shared" si="0"/>
        <v>3.4800512383238784</v>
      </c>
      <c r="H7" s="8">
        <v>470</v>
      </c>
      <c r="I7" s="8">
        <v>118493291840</v>
      </c>
      <c r="J7" s="2">
        <f t="shared" si="2"/>
        <v>55691847164800</v>
      </c>
      <c r="K7" s="2">
        <v>8304395000000</v>
      </c>
      <c r="L7" s="2">
        <v>18389454000000</v>
      </c>
      <c r="O7" s="1" t="s">
        <v>20</v>
      </c>
      <c r="P7" s="1" t="s">
        <v>21</v>
      </c>
      <c r="Q7" s="1" t="s">
        <v>22</v>
      </c>
    </row>
    <row r="8" spans="1:17" x14ac:dyDescent="0.35">
      <c r="A8" s="1" t="s">
        <v>10</v>
      </c>
      <c r="B8" s="1" t="s">
        <v>11</v>
      </c>
      <c r="C8" s="6">
        <v>2020</v>
      </c>
      <c r="D8" s="7">
        <f t="shared" si="1"/>
        <v>0.31766547095433434</v>
      </c>
      <c r="E8" s="2">
        <v>2135725000000</v>
      </c>
      <c r="F8" s="2">
        <v>6723189000000</v>
      </c>
      <c r="G8" s="7">
        <f t="shared" si="0"/>
        <v>3.4800512383238784</v>
      </c>
      <c r="H8" s="8">
        <v>470</v>
      </c>
      <c r="I8" s="8">
        <v>89937540820.874344</v>
      </c>
      <c r="J8" s="2">
        <f t="shared" si="2"/>
        <v>42270644185810.945</v>
      </c>
      <c r="K8" s="2">
        <v>6303115161267.2158</v>
      </c>
      <c r="L8" s="2">
        <v>13957771314445.67</v>
      </c>
      <c r="O8" s="1" t="s">
        <v>14</v>
      </c>
      <c r="P8" s="1">
        <v>2024</v>
      </c>
      <c r="Q8" s="1" t="s">
        <v>23</v>
      </c>
    </row>
    <row r="9" spans="1:17" x14ac:dyDescent="0.35">
      <c r="A9" s="1" t="s">
        <v>12</v>
      </c>
      <c r="B9" s="2" t="s">
        <v>13</v>
      </c>
      <c r="C9" s="6">
        <v>2024</v>
      </c>
      <c r="D9" s="7">
        <f t="shared" si="1"/>
        <v>6.9614680847006019E-2</v>
      </c>
      <c r="E9" s="2">
        <v>310500000000</v>
      </c>
      <c r="F9" s="9">
        <v>4460266085000</v>
      </c>
      <c r="G9" s="7">
        <f t="shared" si="0"/>
        <v>0.52003354859656947</v>
      </c>
      <c r="H9" s="8">
        <v>125</v>
      </c>
      <c r="I9" s="8">
        <v>103066477454</v>
      </c>
      <c r="J9" s="2">
        <f t="shared" si="2"/>
        <v>12883309681750</v>
      </c>
      <c r="K9" s="9">
        <v>10942431810</v>
      </c>
      <c r="L9" s="9">
        <v>24795038990000</v>
      </c>
      <c r="O9" s="1" t="s">
        <v>14</v>
      </c>
      <c r="P9" s="1">
        <v>2023</v>
      </c>
      <c r="Q9" s="1" t="s">
        <v>24</v>
      </c>
    </row>
    <row r="10" spans="1:17" x14ac:dyDescent="0.35">
      <c r="A10" s="1" t="s">
        <v>12</v>
      </c>
      <c r="B10" s="2" t="s">
        <v>13</v>
      </c>
      <c r="C10" s="6">
        <v>2023</v>
      </c>
      <c r="D10" s="7">
        <f t="shared" si="1"/>
        <v>6.6647605481540695E-2</v>
      </c>
      <c r="E10" s="2">
        <v>295800000000</v>
      </c>
      <c r="F10" s="9">
        <v>4438268980000</v>
      </c>
      <c r="G10" s="7">
        <f t="shared" si="0"/>
        <v>0.8524581592053152</v>
      </c>
      <c r="H10" s="8">
        <v>216</v>
      </c>
      <c r="I10" s="8">
        <v>103066477454</v>
      </c>
      <c r="J10" s="2">
        <f t="shared" si="2"/>
        <v>22262359130064</v>
      </c>
      <c r="K10" s="9">
        <v>7920290120</v>
      </c>
      <c r="L10" s="9">
        <v>26124777128000</v>
      </c>
      <c r="O10" s="1" t="s">
        <v>14</v>
      </c>
      <c r="P10" s="1">
        <v>2022</v>
      </c>
      <c r="Q10" s="1" t="s">
        <v>25</v>
      </c>
    </row>
    <row r="11" spans="1:17" x14ac:dyDescent="0.35">
      <c r="A11" s="1" t="s">
        <v>12</v>
      </c>
      <c r="B11" s="2" t="s">
        <v>13</v>
      </c>
      <c r="C11" s="6">
        <v>2022</v>
      </c>
      <c r="D11" s="7">
        <f t="shared" si="1"/>
        <v>7.7438265608720261E-2</v>
      </c>
      <c r="E11" s="9">
        <v>280200000000</v>
      </c>
      <c r="F11" s="9">
        <v>3618366163000</v>
      </c>
      <c r="G11" s="7">
        <f t="shared" si="0"/>
        <v>1.0006698212896787</v>
      </c>
      <c r="H11" s="8">
        <v>266</v>
      </c>
      <c r="I11" s="8">
        <v>103066477454</v>
      </c>
      <c r="J11" s="2">
        <f t="shared" si="2"/>
        <v>27415683002764</v>
      </c>
      <c r="K11" s="9">
        <v>9079213660</v>
      </c>
      <c r="L11" s="9">
        <v>27406404823000</v>
      </c>
      <c r="O11" s="1" t="s">
        <v>14</v>
      </c>
      <c r="P11" s="1">
        <v>2021</v>
      </c>
      <c r="Q11" s="1" t="s">
        <v>26</v>
      </c>
    </row>
    <row r="12" spans="1:17" x14ac:dyDescent="0.35">
      <c r="A12" s="1" t="s">
        <v>12</v>
      </c>
      <c r="B12" s="2" t="s">
        <v>13</v>
      </c>
      <c r="C12" s="6">
        <v>2021</v>
      </c>
      <c r="D12" s="7">
        <f t="shared" si="1"/>
        <v>0.13931672449527882</v>
      </c>
      <c r="E12" s="9">
        <v>260400000000</v>
      </c>
      <c r="F12" s="9">
        <v>1869122325000</v>
      </c>
      <c r="G12" s="7">
        <f t="shared" si="0"/>
        <v>1.6652560367166567</v>
      </c>
      <c r="H12" s="8">
        <v>430</v>
      </c>
      <c r="I12" s="8">
        <v>103066477454</v>
      </c>
      <c r="J12" s="2">
        <f t="shared" si="2"/>
        <v>44318585305220</v>
      </c>
      <c r="K12" s="9">
        <v>3119931208</v>
      </c>
      <c r="L12" s="9">
        <v>26615549957000</v>
      </c>
      <c r="O12" s="1" t="s">
        <v>14</v>
      </c>
      <c r="P12" s="1">
        <v>2020</v>
      </c>
      <c r="Q12" s="1" t="s">
        <v>27</v>
      </c>
    </row>
    <row r="13" spans="1:17" x14ac:dyDescent="0.35">
      <c r="A13" s="1" t="s">
        <v>12</v>
      </c>
      <c r="B13" s="2"/>
      <c r="C13" s="6">
        <v>2020</v>
      </c>
      <c r="D13" s="7">
        <f t="shared" si="1"/>
        <v>0.16291025362907005</v>
      </c>
      <c r="E13" s="9">
        <v>220200000000</v>
      </c>
      <c r="F13" s="2">
        <v>1351664460000</v>
      </c>
      <c r="G13" s="7">
        <f t="shared" si="0"/>
        <v>3.8008942697547149E-4</v>
      </c>
      <c r="H13" s="8">
        <v>0</v>
      </c>
      <c r="I13" s="8">
        <v>2508277911000</v>
      </c>
      <c r="J13" s="2">
        <f t="shared" si="2"/>
        <v>0</v>
      </c>
      <c r="K13" s="9">
        <v>9858217690</v>
      </c>
      <c r="L13" s="9">
        <v>25936574370000</v>
      </c>
    </row>
    <row r="14" spans="1:17" x14ac:dyDescent="0.35">
      <c r="A14" s="1" t="s">
        <v>14</v>
      </c>
      <c r="B14" s="2" t="s">
        <v>15</v>
      </c>
      <c r="C14" s="6">
        <v>2024</v>
      </c>
      <c r="D14" s="7">
        <f t="shared" si="1"/>
        <v>0.26738872948326281</v>
      </c>
      <c r="E14" s="9">
        <v>4250000000000</v>
      </c>
      <c r="F14" s="9">
        <v>15894462000000</v>
      </c>
      <c r="G14" s="7">
        <f t="shared" si="0"/>
        <v>2.2260806107839022</v>
      </c>
      <c r="H14" s="8">
        <v>70</v>
      </c>
      <c r="I14" s="8">
        <v>1191144997220</v>
      </c>
      <c r="J14" s="2">
        <f t="shared" si="2"/>
        <v>83380149805400</v>
      </c>
      <c r="K14" s="9">
        <v>12804083000000</v>
      </c>
      <c r="L14" s="9">
        <v>43207884000000</v>
      </c>
    </row>
    <row r="15" spans="1:17" x14ac:dyDescent="0.35">
      <c r="A15" s="1" t="s">
        <v>14</v>
      </c>
      <c r="B15" s="2" t="s">
        <v>15</v>
      </c>
      <c r="C15" s="6">
        <v>2023</v>
      </c>
      <c r="D15" s="7">
        <f t="shared" si="1"/>
        <v>0.26918279080601443</v>
      </c>
      <c r="E15" s="9">
        <v>3980000000000</v>
      </c>
      <c r="F15" s="9">
        <v>14785492000000</v>
      </c>
      <c r="G15" s="7">
        <f t="shared" si="0"/>
        <v>2.249624029061585</v>
      </c>
      <c r="H15" s="8">
        <v>86</v>
      </c>
      <c r="I15" s="8">
        <v>1201409662836</v>
      </c>
      <c r="J15" s="2">
        <f t="shared" si="2"/>
        <v>103321231003896</v>
      </c>
      <c r="K15" s="9">
        <v>18377256000000</v>
      </c>
      <c r="L15" s="9">
        <v>54097256000000</v>
      </c>
    </row>
    <row r="16" spans="1:17" x14ac:dyDescent="0.35">
      <c r="A16" s="1" t="s">
        <v>14</v>
      </c>
      <c r="B16" s="2" t="s">
        <v>15</v>
      </c>
      <c r="C16" s="6">
        <v>2022</v>
      </c>
      <c r="D16" s="7">
        <f t="shared" si="1"/>
        <v>0.32777736022388249</v>
      </c>
      <c r="E16" s="9">
        <v>3720000000000</v>
      </c>
      <c r="F16" s="9">
        <v>11349167000000</v>
      </c>
      <c r="G16" s="7">
        <f t="shared" si="0"/>
        <v>0.89264046359339266</v>
      </c>
      <c r="H16" s="8">
        <v>91</v>
      </c>
      <c r="I16" s="8">
        <v>1184363929502</v>
      </c>
      <c r="J16" s="2">
        <f t="shared" si="2"/>
        <v>107777117584682</v>
      </c>
      <c r="K16" s="9">
        <v>16493226000000</v>
      </c>
      <c r="L16" s="9">
        <v>139216570000000</v>
      </c>
    </row>
    <row r="17" spans="1:12" x14ac:dyDescent="0.35">
      <c r="A17" s="1" t="s">
        <v>14</v>
      </c>
      <c r="B17" s="2" t="s">
        <v>15</v>
      </c>
      <c r="C17" s="6">
        <v>2021</v>
      </c>
      <c r="D17" s="7">
        <f t="shared" si="1"/>
        <v>0.76062158436814609</v>
      </c>
      <c r="E17" s="9">
        <v>3450000000000</v>
      </c>
      <c r="F17" s="9">
        <v>4535764000000</v>
      </c>
      <c r="G17" s="7">
        <f t="shared" si="0"/>
        <v>0.77475850971496918</v>
      </c>
      <c r="H17" s="8">
        <v>91</v>
      </c>
      <c r="I17" s="8">
        <v>1143748873502</v>
      </c>
      <c r="J17" s="2">
        <f t="shared" si="2"/>
        <v>104081147488682</v>
      </c>
      <c r="K17" s="9">
        <v>16112589000000</v>
      </c>
      <c r="L17" s="9">
        <v>155137033000000</v>
      </c>
    </row>
    <row r="18" spans="1:12" x14ac:dyDescent="0.35">
      <c r="A18" s="1" t="s">
        <v>14</v>
      </c>
      <c r="B18" s="10"/>
      <c r="C18" s="6">
        <v>2020</v>
      </c>
      <c r="D18" s="7">
        <f t="shared" si="1"/>
        <v>0.93753521391278216</v>
      </c>
      <c r="E18" s="11">
        <v>3120000000000</v>
      </c>
      <c r="F18" s="11">
        <v>3327875000000</v>
      </c>
      <c r="G18" s="7">
        <f t="shared" si="0"/>
        <v>0.31512340174242748</v>
      </c>
      <c r="H18" s="8">
        <v>91</v>
      </c>
      <c r="I18" s="12">
        <v>1964000000</v>
      </c>
      <c r="J18" s="2">
        <f t="shared" si="2"/>
        <v>178724000000</v>
      </c>
      <c r="K18" s="11">
        <v>9309191000000</v>
      </c>
      <c r="L18" s="11">
        <v>30108570000000</v>
      </c>
    </row>
    <row r="19" spans="1:12" x14ac:dyDescent="0.35">
      <c r="A19" s="1" t="s">
        <v>16</v>
      </c>
      <c r="C19" s="6">
        <v>2024</v>
      </c>
      <c r="D19" s="7">
        <f t="shared" si="1"/>
        <v>5.671431963379274E-2</v>
      </c>
      <c r="E19" s="1">
        <v>66700000000</v>
      </c>
      <c r="F19" s="1">
        <v>1176069825587</v>
      </c>
      <c r="G19" s="7">
        <f t="shared" si="0"/>
        <v>24.50470204118184</v>
      </c>
      <c r="H19" s="1">
        <v>246</v>
      </c>
      <c r="I19" s="1">
        <v>76923077000</v>
      </c>
      <c r="J19" s="2">
        <f t="shared" si="2"/>
        <v>18923076942000</v>
      </c>
      <c r="K19" s="1">
        <v>147238009649</v>
      </c>
      <c r="L19" s="1">
        <v>778230844007</v>
      </c>
    </row>
    <row r="20" spans="1:12" x14ac:dyDescent="0.35">
      <c r="A20" s="1" t="s">
        <v>16</v>
      </c>
      <c r="C20" s="6">
        <v>2023</v>
      </c>
      <c r="D20" s="7">
        <f t="shared" si="1"/>
        <v>3.2132755382330021E-2</v>
      </c>
      <c r="E20" s="1">
        <v>62500000000</v>
      </c>
      <c r="F20" s="1">
        <v>1945055730713</v>
      </c>
      <c r="G20" s="7">
        <f t="shared" si="0"/>
        <v>28.051217793349</v>
      </c>
      <c r="H20" s="1">
        <v>314</v>
      </c>
      <c r="I20" s="1">
        <v>76923077000</v>
      </c>
      <c r="J20" s="2">
        <f t="shared" si="2"/>
        <v>24153846178000</v>
      </c>
      <c r="K20" s="1">
        <v>194200230516</v>
      </c>
      <c r="L20" s="1">
        <v>867985361202</v>
      </c>
    </row>
    <row r="21" spans="1:12" x14ac:dyDescent="0.35">
      <c r="A21" s="1" t="s">
        <v>16</v>
      </c>
      <c r="C21" s="6">
        <v>2022</v>
      </c>
      <c r="D21" s="7">
        <f t="shared" si="1"/>
        <v>3.0080177818105978E-2</v>
      </c>
      <c r="E21" s="1">
        <v>58300000000</v>
      </c>
      <c r="F21" s="1">
        <v>1938153436211</v>
      </c>
      <c r="G21" s="7">
        <f t="shared" si="0"/>
        <v>256.61590767440856</v>
      </c>
      <c r="H21" s="1">
        <v>990</v>
      </c>
      <c r="I21" s="1">
        <v>76923077000</v>
      </c>
      <c r="J21" s="2">
        <f t="shared" si="2"/>
        <v>76153846230000</v>
      </c>
      <c r="K21" s="1">
        <v>139236593044</v>
      </c>
      <c r="L21" s="1">
        <v>297304572871</v>
      </c>
    </row>
    <row r="22" spans="1:12" x14ac:dyDescent="0.35">
      <c r="A22" s="1" t="s">
        <v>16</v>
      </c>
      <c r="C22" s="6">
        <v>2021</v>
      </c>
      <c r="D22" s="7">
        <f t="shared" si="1"/>
        <v>4.7025436321184479E-2</v>
      </c>
      <c r="E22" s="1">
        <v>54100000000</v>
      </c>
      <c r="F22" s="1">
        <v>1150441212932</v>
      </c>
      <c r="G22" s="7">
        <f t="shared" si="0"/>
        <v>1928.4626636984262</v>
      </c>
      <c r="H22" s="1">
        <v>2720</v>
      </c>
      <c r="I22" s="1">
        <v>76923077000</v>
      </c>
      <c r="J22" s="2">
        <f>H22*I22</f>
        <v>209230769440000</v>
      </c>
      <c r="K22" s="1">
        <v>155122619995</v>
      </c>
      <c r="L22" s="1">
        <v>108576585900</v>
      </c>
    </row>
    <row r="23" spans="1:12" x14ac:dyDescent="0.35">
      <c r="A23" s="1" t="s">
        <v>16</v>
      </c>
      <c r="C23" s="6">
        <v>2020</v>
      </c>
      <c r="D23" s="7">
        <f t="shared" si="1"/>
        <v>9.3194482984684246E-2</v>
      </c>
      <c r="E23" s="1">
        <v>48200000000</v>
      </c>
      <c r="F23" s="1">
        <v>517197997739</v>
      </c>
      <c r="G23" s="7">
        <f t="shared" si="0"/>
        <v>78.177900664283655</v>
      </c>
      <c r="H23" s="1">
        <v>230</v>
      </c>
      <c r="I23" s="1">
        <v>76923077000</v>
      </c>
      <c r="J23" s="2">
        <f t="shared" si="2"/>
        <v>17692307710000</v>
      </c>
      <c r="K23" s="1">
        <v>115644142133</v>
      </c>
      <c r="L23" s="1">
        <v>227787542269.84171</v>
      </c>
    </row>
    <row r="24" spans="1:12" x14ac:dyDescent="0.35">
      <c r="A24" s="1" t="s">
        <v>17</v>
      </c>
      <c r="C24" s="6">
        <v>2024</v>
      </c>
      <c r="D24" s="7">
        <f t="shared" si="1"/>
        <v>3.0854165969270786E-3</v>
      </c>
      <c r="E24" s="1">
        <v>14800000000</v>
      </c>
      <c r="F24" s="1">
        <v>4796759055078.6768</v>
      </c>
      <c r="G24" s="7">
        <f t="shared" si="0"/>
        <v>9.0595138781096232</v>
      </c>
      <c r="H24" s="1">
        <v>19</v>
      </c>
      <c r="I24" s="1">
        <v>152468000000</v>
      </c>
      <c r="J24" s="2">
        <f t="shared" si="2"/>
        <v>2896892000000</v>
      </c>
      <c r="K24" s="1">
        <v>56093459104</v>
      </c>
      <c r="L24" s="1">
        <v>325954074229</v>
      </c>
    </row>
    <row r="25" spans="1:12" x14ac:dyDescent="0.35">
      <c r="A25" s="1" t="s">
        <v>17</v>
      </c>
      <c r="C25" s="6">
        <v>2023</v>
      </c>
      <c r="D25" s="7">
        <f t="shared" si="1"/>
        <v>3.0854165969270782E-3</v>
      </c>
      <c r="E25" s="1">
        <v>13900000000</v>
      </c>
      <c r="F25" s="1">
        <v>4505064247675.2441</v>
      </c>
      <c r="G25" s="7">
        <f t="shared" si="0"/>
        <v>22.074709091332398</v>
      </c>
      <c r="H25" s="1">
        <v>50</v>
      </c>
      <c r="I25" s="1">
        <v>152468000000</v>
      </c>
      <c r="J25" s="2">
        <f t="shared" si="2"/>
        <v>7623400000000</v>
      </c>
      <c r="K25" s="1">
        <v>59305042313</v>
      </c>
      <c r="L25" s="1">
        <v>348031994919</v>
      </c>
    </row>
    <row r="26" spans="1:12" x14ac:dyDescent="0.35">
      <c r="A26" s="1" t="s">
        <v>17</v>
      </c>
      <c r="C26" s="6">
        <v>2022</v>
      </c>
      <c r="D26" s="7">
        <f t="shared" si="1"/>
        <v>3.0854165969270782E-3</v>
      </c>
      <c r="E26" s="1">
        <v>12700000000</v>
      </c>
      <c r="F26" s="1">
        <v>4116137837804</v>
      </c>
      <c r="G26" s="7">
        <f t="shared" si="0"/>
        <v>23.273276928206371</v>
      </c>
      <c r="H26" s="1">
        <v>54</v>
      </c>
      <c r="I26" s="1">
        <v>152468000000</v>
      </c>
      <c r="J26" s="2">
        <f t="shared" si="2"/>
        <v>8233272000000</v>
      </c>
      <c r="K26" s="1">
        <v>17509773085</v>
      </c>
      <c r="L26" s="1">
        <v>354517406317</v>
      </c>
    </row>
    <row r="27" spans="1:12" x14ac:dyDescent="0.35">
      <c r="A27" s="1" t="s">
        <v>17</v>
      </c>
      <c r="C27" s="6">
        <v>2021</v>
      </c>
      <c r="D27" s="7">
        <f t="shared" si="1"/>
        <v>3.3244797420703522E-3</v>
      </c>
      <c r="E27" s="1">
        <v>11600000000</v>
      </c>
      <c r="F27" s="1">
        <v>3489267765180</v>
      </c>
      <c r="G27" s="7">
        <f t="shared" si="0"/>
        <v>111.59956033714876</v>
      </c>
      <c r="H27" s="1">
        <v>340</v>
      </c>
      <c r="I27" s="1">
        <v>152468000000</v>
      </c>
      <c r="J27" s="2">
        <f t="shared" si="2"/>
        <v>51839120000000</v>
      </c>
      <c r="K27" s="1">
        <v>11238406840</v>
      </c>
      <c r="L27" s="1">
        <v>464610776693</v>
      </c>
    </row>
    <row r="28" spans="1:12" x14ac:dyDescent="0.35">
      <c r="A28" s="1" t="s">
        <v>17</v>
      </c>
      <c r="C28" s="6">
        <v>2020</v>
      </c>
      <c r="D28" s="7">
        <f t="shared" si="1"/>
        <v>3.3244797420703522E-3</v>
      </c>
      <c r="E28" s="1">
        <v>10400000000</v>
      </c>
      <c r="F28" s="1">
        <v>3128309030851.0342</v>
      </c>
      <c r="G28" s="7">
        <f t="shared" si="0"/>
        <v>95.153704683682562</v>
      </c>
      <c r="H28" s="1">
        <v>258</v>
      </c>
      <c r="I28" s="1">
        <v>152468000000</v>
      </c>
      <c r="J28" s="2">
        <f t="shared" si="2"/>
        <v>39336744000000</v>
      </c>
      <c r="K28" s="1">
        <v>53128656413</v>
      </c>
      <c r="L28" s="1">
        <v>413960473608</v>
      </c>
    </row>
    <row r="29" spans="1:12" x14ac:dyDescent="0.35">
      <c r="A29" s="1" t="s">
        <v>18</v>
      </c>
      <c r="C29" s="6">
        <v>2024</v>
      </c>
      <c r="D29" s="7">
        <f t="shared" si="1"/>
        <v>3.8064889732368087E-2</v>
      </c>
      <c r="E29" s="1">
        <v>15300000000</v>
      </c>
      <c r="F29" s="1">
        <v>401945207449</v>
      </c>
      <c r="G29" s="7">
        <f t="shared" si="0"/>
        <v>14.407963577402255</v>
      </c>
      <c r="H29" s="1">
        <v>106</v>
      </c>
      <c r="I29" s="1">
        <v>33333330000</v>
      </c>
      <c r="J29" s="2">
        <f t="shared" si="2"/>
        <v>3533332980000</v>
      </c>
      <c r="K29" s="1">
        <v>71829470157</v>
      </c>
      <c r="L29" s="1">
        <v>250220125196</v>
      </c>
    </row>
    <row r="30" spans="1:12" x14ac:dyDescent="0.35">
      <c r="A30" s="1" t="s">
        <v>18</v>
      </c>
      <c r="C30" s="6">
        <v>2023</v>
      </c>
      <c r="D30" s="7">
        <f t="shared" si="1"/>
        <v>2.2260213666473995E-2</v>
      </c>
      <c r="E30" s="1">
        <v>14100000000</v>
      </c>
      <c r="F30" s="1">
        <v>633417100629</v>
      </c>
      <c r="G30" s="7">
        <f t="shared" si="0"/>
        <v>88.756253026254001</v>
      </c>
      <c r="H30" s="1">
        <v>680</v>
      </c>
      <c r="I30" s="1">
        <v>33333330000</v>
      </c>
      <c r="J30" s="2">
        <f t="shared" si="2"/>
        <v>22666664400000</v>
      </c>
      <c r="K30" s="1">
        <v>62705991491</v>
      </c>
      <c r="L30" s="1">
        <v>256087538810</v>
      </c>
    </row>
    <row r="31" spans="1:12" x14ac:dyDescent="0.35">
      <c r="A31" s="1" t="s">
        <v>18</v>
      </c>
      <c r="C31" s="6">
        <v>2022</v>
      </c>
      <c r="D31" s="7">
        <f t="shared" si="1"/>
        <v>1.6851380149046833E-2</v>
      </c>
      <c r="E31" s="1">
        <v>12900000000</v>
      </c>
      <c r="F31" s="1">
        <v>765515933170</v>
      </c>
      <c r="G31" s="7">
        <f t="shared" si="0"/>
        <v>629.9437661931604</v>
      </c>
      <c r="H31" s="1">
        <v>4980</v>
      </c>
      <c r="I31" s="1">
        <v>33333330000</v>
      </c>
      <c r="J31" s="2">
        <f t="shared" si="2"/>
        <v>165999983400000</v>
      </c>
      <c r="K31" s="1">
        <v>59988224824</v>
      </c>
      <c r="L31" s="1">
        <v>263610786449</v>
      </c>
    </row>
    <row r="32" spans="1:12" x14ac:dyDescent="0.35">
      <c r="A32" s="1" t="s">
        <v>18</v>
      </c>
      <c r="C32" s="6">
        <v>2021</v>
      </c>
      <c r="D32" s="7">
        <f t="shared" si="1"/>
        <v>1.8306596588222861E-2</v>
      </c>
      <c r="E32" s="1">
        <v>11800000000</v>
      </c>
      <c r="F32" s="1">
        <v>644576393167</v>
      </c>
      <c r="G32" s="7">
        <f t="shared" si="0"/>
        <v>621.31447208196164</v>
      </c>
      <c r="H32" s="1">
        <v>5125</v>
      </c>
      <c r="I32" s="1">
        <v>33333330000</v>
      </c>
      <c r="J32" s="2">
        <f t="shared" si="2"/>
        <v>170833316250000</v>
      </c>
      <c r="K32" s="1">
        <v>59681500000</v>
      </c>
      <c r="L32" s="1">
        <v>275050727818</v>
      </c>
    </row>
    <row r="33" spans="1:12" x14ac:dyDescent="0.35">
      <c r="A33" s="1" t="s">
        <v>18</v>
      </c>
      <c r="C33" s="6">
        <v>2020</v>
      </c>
      <c r="D33" s="7">
        <f t="shared" si="1"/>
        <v>1.6014187837493869E-2</v>
      </c>
      <c r="E33" s="1">
        <v>9103830000</v>
      </c>
      <c r="F33" s="1">
        <v>568485276455</v>
      </c>
      <c r="G33" s="7">
        <f t="shared" si="0"/>
        <v>27.081438791842221</v>
      </c>
      <c r="H33" s="1">
        <v>180</v>
      </c>
      <c r="I33" s="1">
        <v>33333330000</v>
      </c>
      <c r="J33" s="2">
        <f t="shared" si="2"/>
        <v>5999999400000</v>
      </c>
      <c r="K33" s="1">
        <v>65967910374</v>
      </c>
      <c r="L33" s="1">
        <v>223989846219</v>
      </c>
    </row>
    <row r="34" spans="1:12" x14ac:dyDescent="0.35">
      <c r="A34" s="1" t="s">
        <v>19</v>
      </c>
      <c r="C34" s="6">
        <v>2024</v>
      </c>
      <c r="D34" s="7">
        <f t="shared" si="1"/>
        <v>0.19805730269409325</v>
      </c>
      <c r="E34" s="1">
        <v>27400000000</v>
      </c>
      <c r="F34" s="1">
        <v>138343800644</v>
      </c>
      <c r="G34" s="7">
        <f t="shared" si="0"/>
        <v>5.7005348286812296</v>
      </c>
      <c r="H34" s="1">
        <v>71</v>
      </c>
      <c r="I34" s="1">
        <v>17173506204</v>
      </c>
      <c r="J34" s="2">
        <f t="shared" si="2"/>
        <v>1219318940484</v>
      </c>
      <c r="K34" s="1">
        <v>112500626991</v>
      </c>
      <c r="L34" s="1">
        <v>233630634230</v>
      </c>
    </row>
    <row r="35" spans="1:12" x14ac:dyDescent="0.35">
      <c r="A35" s="1" t="s">
        <v>19</v>
      </c>
      <c r="C35" s="6">
        <v>2023</v>
      </c>
      <c r="D35" s="7">
        <f t="shared" si="1"/>
        <v>0.13290296193596829</v>
      </c>
      <c r="E35" s="1">
        <v>25900000000</v>
      </c>
      <c r="F35" s="1">
        <v>194879027696</v>
      </c>
      <c r="G35" s="7">
        <f t="shared" si="0"/>
        <v>8.5451305278333756</v>
      </c>
      <c r="H35" s="1">
        <v>110</v>
      </c>
      <c r="I35" s="1">
        <v>17173506204</v>
      </c>
      <c r="J35" s="2">
        <f t="shared" si="2"/>
        <v>1889085682440</v>
      </c>
      <c r="K35" s="1">
        <v>74943098454</v>
      </c>
      <c r="L35" s="1">
        <v>229841870115</v>
      </c>
    </row>
    <row r="36" spans="1:12" x14ac:dyDescent="0.35">
      <c r="A36" s="1" t="s">
        <v>19</v>
      </c>
      <c r="C36" s="6">
        <v>2022</v>
      </c>
      <c r="D36" s="7">
        <f t="shared" si="1"/>
        <v>0.19640241050583199</v>
      </c>
      <c r="E36" s="1">
        <v>24100000000</v>
      </c>
      <c r="F36" s="1">
        <v>122707251596</v>
      </c>
      <c r="G36" s="7">
        <f t="shared" si="0"/>
        <v>9.4097561548362165</v>
      </c>
      <c r="H36" s="1">
        <v>136</v>
      </c>
      <c r="I36" s="1">
        <v>17173506204</v>
      </c>
      <c r="J36" s="2">
        <f t="shared" si="2"/>
        <v>2335596843744</v>
      </c>
      <c r="K36" s="1">
        <v>40939097867</v>
      </c>
      <c r="L36" s="1">
        <v>252560842439</v>
      </c>
    </row>
    <row r="37" spans="1:12" x14ac:dyDescent="0.35">
      <c r="A37" s="1" t="s">
        <v>19</v>
      </c>
      <c r="C37" s="6">
        <v>2021</v>
      </c>
      <c r="D37" s="7">
        <f t="shared" si="1"/>
        <v>9.0769038234797358E-2</v>
      </c>
      <c r="E37" s="1">
        <v>22600000000</v>
      </c>
      <c r="F37" s="1">
        <v>248983578977</v>
      </c>
      <c r="G37" s="7">
        <f t="shared" si="0"/>
        <v>27.261234829375599</v>
      </c>
      <c r="H37" s="1">
        <v>270</v>
      </c>
      <c r="I37" s="1">
        <v>17173506204</v>
      </c>
      <c r="J37" s="2">
        <f t="shared" si="2"/>
        <v>4636846675080</v>
      </c>
      <c r="K37" s="1">
        <v>49824137707</v>
      </c>
      <c r="L37" s="1">
        <v>171917040520</v>
      </c>
    </row>
    <row r="38" spans="1:12" x14ac:dyDescent="0.35">
      <c r="A38" s="1" t="s">
        <v>19</v>
      </c>
      <c r="C38" s="6">
        <v>2020</v>
      </c>
      <c r="D38" s="7">
        <f t="shared" si="1"/>
        <v>0.24574119170546974</v>
      </c>
      <c r="E38" s="1">
        <v>20721000000</v>
      </c>
      <c r="F38" s="1">
        <v>84320417982</v>
      </c>
      <c r="G38" s="7">
        <f t="shared" si="0"/>
        <v>40.646616285444452</v>
      </c>
      <c r="H38" s="1">
        <v>468</v>
      </c>
      <c r="I38" s="1">
        <v>17173298484</v>
      </c>
      <c r="J38" s="2">
        <f t="shared" si="2"/>
        <v>8037103690512</v>
      </c>
      <c r="K38" s="1">
        <v>87012115495</v>
      </c>
      <c r="L38" s="1">
        <v>199871884758</v>
      </c>
    </row>
    <row r="39" spans="1:12" x14ac:dyDescent="0.35">
      <c r="J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INDRA PRATAMA</dc:creator>
  <cp:lastModifiedBy>SARI INDRA PRATAMA</cp:lastModifiedBy>
  <dcterms:created xsi:type="dcterms:W3CDTF">2025-11-18T09:17:19Z</dcterms:created>
  <dcterms:modified xsi:type="dcterms:W3CDTF">2025-11-19T02:19:56Z</dcterms:modified>
</cp:coreProperties>
</file>